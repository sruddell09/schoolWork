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8670" windowHeight="6645"/>
  </bookViews>
  <sheets>
    <sheet name="Sentences" sheetId="2" r:id="rId1"/>
    <sheet name="Vocabulary" sheetId="1" r:id="rId2"/>
  </sheets>
  <definedNames>
    <definedName name="_xlnm._FilterDatabase" localSheetId="1" hidden="1">Vocabulary!$A$1:$G$1155</definedName>
  </definedNames>
  <calcPr calcId="145621" refMode="R1C1"/>
</workbook>
</file>

<file path=xl/calcChain.xml><?xml version="1.0" encoding="utf-8"?>
<calcChain xmlns="http://schemas.openxmlformats.org/spreadsheetml/2006/main">
  <c r="B502" i="2" l="1"/>
  <c r="B380" i="2"/>
  <c r="B465" i="2"/>
  <c r="H78" i="2" l="1"/>
  <c r="I78" i="2"/>
  <c r="I719" i="2" l="1"/>
  <c r="J719" i="2"/>
  <c r="H719" i="2"/>
  <c r="B719" i="2"/>
  <c r="C719" i="2"/>
  <c r="D719" i="2"/>
  <c r="E719" i="2"/>
  <c r="G719" i="2"/>
  <c r="H715" i="2"/>
  <c r="G715" i="2"/>
  <c r="F715" i="2"/>
  <c r="E715" i="2"/>
  <c r="D715" i="2"/>
  <c r="C715" i="2"/>
  <c r="B715" i="2"/>
  <c r="F711" i="2"/>
  <c r="E711" i="2"/>
  <c r="D711" i="2"/>
  <c r="B711" i="2"/>
  <c r="C711" i="2"/>
  <c r="B707" i="2"/>
  <c r="C707" i="2"/>
  <c r="D707" i="2"/>
  <c r="B703" i="2"/>
  <c r="C703" i="2"/>
  <c r="D703" i="2"/>
  <c r="E703" i="2"/>
  <c r="F703" i="2"/>
  <c r="G703" i="2"/>
  <c r="H703" i="2"/>
  <c r="D699" i="2"/>
  <c r="H699" i="2"/>
  <c r="B699" i="2"/>
  <c r="G699" i="2"/>
  <c r="F699" i="2"/>
  <c r="E699" i="2"/>
  <c r="C699" i="2"/>
  <c r="J695" i="2"/>
  <c r="L695" i="2"/>
  <c r="M695" i="2"/>
  <c r="K695" i="2"/>
  <c r="E695" i="2"/>
  <c r="D695" i="2"/>
  <c r="C695" i="2"/>
  <c r="B695" i="2"/>
  <c r="F695" i="2"/>
  <c r="G695" i="2"/>
  <c r="H695" i="2"/>
  <c r="I695" i="2"/>
  <c r="K691" i="2"/>
  <c r="J691" i="2"/>
  <c r="I691" i="2"/>
  <c r="H691" i="2"/>
  <c r="C691" i="2"/>
  <c r="B691" i="2"/>
  <c r="G691" i="2"/>
  <c r="F691" i="2"/>
  <c r="E691" i="2"/>
  <c r="D691" i="2"/>
  <c r="B687" i="2" l="1"/>
  <c r="C687" i="2"/>
  <c r="D687" i="2"/>
  <c r="B683" i="2"/>
  <c r="C683" i="2"/>
  <c r="D683" i="2"/>
  <c r="E683" i="2"/>
  <c r="F683" i="2"/>
  <c r="D679" i="2"/>
  <c r="E679" i="2"/>
  <c r="F679" i="2"/>
  <c r="C679" i="2"/>
  <c r="B679" i="2"/>
  <c r="I467" i="2"/>
  <c r="E540" i="2"/>
  <c r="E528" i="2"/>
  <c r="B675" i="2"/>
  <c r="C675" i="2"/>
  <c r="D675" i="2"/>
  <c r="E675" i="2"/>
  <c r="F675" i="2"/>
  <c r="G675" i="2"/>
  <c r="I671" i="2" l="1"/>
  <c r="H671" i="2"/>
  <c r="F671" i="2"/>
  <c r="G671" i="2"/>
  <c r="E671" i="2"/>
  <c r="D671" i="2"/>
  <c r="C671" i="2"/>
  <c r="C667" i="2"/>
  <c r="B671" i="2"/>
  <c r="D667" i="2"/>
  <c r="B667" i="2"/>
  <c r="B663" i="2"/>
  <c r="C663" i="2"/>
  <c r="D663" i="2"/>
  <c r="C659" i="2"/>
  <c r="B659" i="2"/>
  <c r="D659" i="2"/>
  <c r="E659" i="2"/>
  <c r="I659" i="2"/>
  <c r="H659" i="2"/>
  <c r="G659" i="2"/>
  <c r="F659" i="2"/>
  <c r="H655" i="2"/>
  <c r="I655" i="2"/>
  <c r="G655" i="2"/>
  <c r="F655" i="2"/>
  <c r="E655" i="2"/>
  <c r="D655" i="2"/>
  <c r="B655" i="2"/>
  <c r="C655" i="2"/>
  <c r="H110" i="2"/>
  <c r="G110" i="2"/>
  <c r="E1153" i="1" l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G651" i="2"/>
  <c r="F651" i="2"/>
  <c r="E651" i="2"/>
  <c r="D651" i="2"/>
  <c r="C651" i="2"/>
  <c r="B651" i="2"/>
  <c r="H647" i="2"/>
  <c r="G647" i="2"/>
  <c r="F647" i="2"/>
  <c r="E647" i="2"/>
  <c r="D647" i="2"/>
  <c r="C647" i="2"/>
  <c r="B647" i="2"/>
  <c r="E643" i="2"/>
  <c r="D643" i="2"/>
  <c r="C643" i="2"/>
  <c r="B643" i="2"/>
  <c r="F639" i="2"/>
  <c r="E639" i="2"/>
  <c r="D639" i="2"/>
  <c r="C639" i="2"/>
  <c r="B639" i="2"/>
  <c r="J634" i="2"/>
  <c r="I634" i="2"/>
  <c r="H634" i="2"/>
  <c r="G634" i="2"/>
  <c r="F634" i="2"/>
  <c r="E634" i="2"/>
  <c r="D634" i="2"/>
  <c r="C634" i="2"/>
  <c r="B634" i="2"/>
  <c r="G630" i="2"/>
  <c r="F630" i="2"/>
  <c r="E630" i="2"/>
  <c r="D630" i="2"/>
  <c r="C630" i="2"/>
  <c r="B630" i="2"/>
  <c r="H626" i="2"/>
  <c r="G626" i="2"/>
  <c r="F626" i="2"/>
  <c r="E626" i="2"/>
  <c r="D626" i="2"/>
  <c r="C626" i="2"/>
  <c r="B626" i="2"/>
  <c r="H622" i="2"/>
  <c r="G622" i="2"/>
  <c r="F622" i="2"/>
  <c r="E622" i="2"/>
  <c r="D622" i="2"/>
  <c r="C622" i="2"/>
  <c r="B622" i="2"/>
  <c r="G618" i="2"/>
  <c r="F618" i="2"/>
  <c r="E618" i="2"/>
  <c r="D618" i="2"/>
  <c r="C618" i="2"/>
  <c r="B618" i="2"/>
  <c r="I614" i="2"/>
  <c r="H614" i="2"/>
  <c r="G614" i="2"/>
  <c r="F614" i="2"/>
  <c r="E614" i="2"/>
  <c r="D614" i="2"/>
  <c r="C614" i="2"/>
  <c r="B614" i="2"/>
  <c r="F610" i="2"/>
  <c r="E610" i="2"/>
  <c r="D610" i="2"/>
  <c r="C610" i="2"/>
  <c r="B610" i="2"/>
  <c r="K606" i="2"/>
  <c r="J606" i="2"/>
  <c r="I606" i="2"/>
  <c r="H606" i="2"/>
  <c r="G606" i="2"/>
  <c r="F606" i="2"/>
  <c r="E606" i="2"/>
  <c r="D606" i="2"/>
  <c r="C606" i="2"/>
  <c r="B606" i="2"/>
  <c r="L602" i="2"/>
  <c r="K602" i="2"/>
  <c r="J602" i="2"/>
  <c r="I602" i="2"/>
  <c r="H602" i="2"/>
  <c r="G602" i="2"/>
  <c r="F602" i="2"/>
  <c r="E602" i="2"/>
  <c r="D602" i="2"/>
  <c r="C602" i="2"/>
  <c r="B602" i="2"/>
  <c r="D598" i="2"/>
  <c r="C598" i="2"/>
  <c r="B598" i="2"/>
  <c r="M594" i="2"/>
  <c r="L594" i="2"/>
  <c r="K594" i="2"/>
  <c r="J594" i="2"/>
  <c r="I594" i="2"/>
  <c r="H594" i="2"/>
  <c r="G594" i="2"/>
  <c r="F594" i="2"/>
  <c r="E594" i="2"/>
  <c r="D594" i="2"/>
  <c r="C594" i="2"/>
  <c r="B594" i="2"/>
  <c r="H590" i="2"/>
  <c r="G590" i="2"/>
  <c r="F590" i="2"/>
  <c r="E590" i="2"/>
  <c r="D590" i="2"/>
  <c r="C590" i="2"/>
  <c r="B590" i="2"/>
  <c r="F586" i="2"/>
  <c r="E586" i="2"/>
  <c r="D586" i="2"/>
  <c r="C586" i="2"/>
  <c r="B586" i="2"/>
  <c r="K582" i="2"/>
  <c r="J582" i="2"/>
  <c r="I582" i="2"/>
  <c r="H582" i="2"/>
  <c r="G582" i="2"/>
  <c r="F582" i="2"/>
  <c r="E582" i="2"/>
  <c r="D582" i="2"/>
  <c r="C582" i="2"/>
  <c r="B582" i="2"/>
  <c r="K578" i="2"/>
  <c r="J578" i="2"/>
  <c r="I578" i="2"/>
  <c r="H578" i="2"/>
  <c r="G578" i="2"/>
  <c r="F578" i="2"/>
  <c r="E578" i="2"/>
  <c r="D578" i="2"/>
  <c r="C578" i="2"/>
  <c r="B578" i="2"/>
  <c r="H574" i="2"/>
  <c r="G574" i="2"/>
  <c r="F574" i="2"/>
  <c r="E574" i="2"/>
  <c r="D574" i="2"/>
  <c r="C574" i="2"/>
  <c r="B574" i="2"/>
  <c r="H570" i="2"/>
  <c r="G570" i="2"/>
  <c r="F570" i="2"/>
  <c r="E570" i="2"/>
  <c r="D570" i="2"/>
  <c r="C570" i="2"/>
  <c r="B570" i="2"/>
  <c r="J566" i="2"/>
  <c r="I566" i="2"/>
  <c r="H566" i="2"/>
  <c r="G566" i="2"/>
  <c r="F566" i="2"/>
  <c r="E566" i="2"/>
  <c r="D566" i="2"/>
  <c r="C566" i="2"/>
  <c r="B566" i="2"/>
  <c r="H562" i="2"/>
  <c r="G562" i="2"/>
  <c r="F562" i="2"/>
  <c r="E562" i="2"/>
  <c r="D562" i="2"/>
  <c r="C562" i="2"/>
  <c r="B562" i="2"/>
  <c r="E558" i="2"/>
  <c r="D558" i="2"/>
  <c r="C558" i="2"/>
  <c r="B558" i="2"/>
  <c r="E554" i="2"/>
  <c r="D554" i="2"/>
  <c r="C554" i="2"/>
  <c r="B554" i="2"/>
  <c r="E550" i="2"/>
  <c r="D550" i="2"/>
  <c r="C550" i="2"/>
  <c r="B550" i="2"/>
  <c r="F544" i="2"/>
  <c r="E544" i="2"/>
  <c r="D544" i="2"/>
  <c r="C544" i="2"/>
  <c r="B544" i="2"/>
  <c r="F540" i="2"/>
  <c r="D540" i="2"/>
  <c r="C540" i="2"/>
  <c r="B540" i="2"/>
  <c r="H536" i="2"/>
  <c r="G536" i="2"/>
  <c r="F536" i="2"/>
  <c r="E536" i="2"/>
  <c r="D536" i="2"/>
  <c r="C536" i="2"/>
  <c r="B536" i="2"/>
  <c r="F532" i="2"/>
  <c r="E532" i="2"/>
  <c r="D532" i="2"/>
  <c r="C532" i="2"/>
  <c r="B532" i="2"/>
  <c r="F528" i="2"/>
  <c r="D528" i="2"/>
  <c r="C528" i="2"/>
  <c r="B528" i="2"/>
  <c r="H524" i="2"/>
  <c r="F524" i="2"/>
  <c r="C524" i="2"/>
  <c r="B524" i="2"/>
  <c r="H520" i="2"/>
  <c r="G520" i="2"/>
  <c r="F520" i="2"/>
  <c r="E520" i="2"/>
  <c r="D520" i="2"/>
  <c r="C520" i="2"/>
  <c r="B520" i="2"/>
  <c r="H516" i="2"/>
  <c r="G516" i="2"/>
  <c r="F516" i="2"/>
  <c r="E516" i="2"/>
  <c r="D516" i="2"/>
  <c r="C516" i="2"/>
  <c r="B516" i="2"/>
  <c r="B514" i="2"/>
  <c r="D512" i="2"/>
  <c r="C512" i="2"/>
  <c r="B512" i="2"/>
  <c r="F508" i="2"/>
  <c r="E508" i="2"/>
  <c r="D508" i="2"/>
  <c r="C508" i="2"/>
  <c r="B508" i="2"/>
  <c r="F504" i="2"/>
  <c r="E504" i="2"/>
  <c r="D504" i="2"/>
  <c r="C504" i="2"/>
  <c r="B504" i="2"/>
  <c r="F501" i="2"/>
  <c r="F500" i="2"/>
  <c r="E500" i="2"/>
  <c r="D500" i="2"/>
  <c r="C500" i="2"/>
  <c r="B500" i="2"/>
  <c r="E496" i="2"/>
  <c r="D496" i="2"/>
  <c r="C496" i="2"/>
  <c r="B496" i="2"/>
  <c r="D492" i="2"/>
  <c r="C492" i="2"/>
  <c r="B492" i="2"/>
  <c r="G488" i="2"/>
  <c r="F488" i="2"/>
  <c r="E488" i="2"/>
  <c r="D488" i="2"/>
  <c r="C488" i="2"/>
  <c r="B488" i="2"/>
  <c r="F484" i="2"/>
  <c r="E484" i="2"/>
  <c r="D484" i="2"/>
  <c r="C484" i="2"/>
  <c r="B484" i="2"/>
  <c r="I480" i="2"/>
  <c r="H480" i="2"/>
  <c r="G480" i="2"/>
  <c r="F480" i="2"/>
  <c r="E480" i="2"/>
  <c r="D480" i="2"/>
  <c r="C480" i="2"/>
  <c r="B480" i="2"/>
  <c r="F476" i="2"/>
  <c r="E476" i="2"/>
  <c r="D476" i="2"/>
  <c r="C476" i="2"/>
  <c r="B476" i="2"/>
  <c r="H472" i="2"/>
  <c r="G472" i="2"/>
  <c r="F472" i="2"/>
  <c r="E472" i="2"/>
  <c r="D472" i="2"/>
  <c r="C472" i="2"/>
  <c r="B472" i="2"/>
  <c r="K467" i="2"/>
  <c r="J467" i="2"/>
  <c r="H467" i="2"/>
  <c r="G467" i="2"/>
  <c r="F467" i="2"/>
  <c r="E467" i="2"/>
  <c r="D467" i="2"/>
  <c r="C467" i="2"/>
  <c r="B467" i="2"/>
  <c r="G463" i="2"/>
  <c r="F463" i="2"/>
  <c r="E463" i="2"/>
  <c r="D463" i="2"/>
  <c r="C463" i="2"/>
  <c r="B463" i="2"/>
  <c r="D459" i="2"/>
  <c r="C459" i="2"/>
  <c r="B459" i="2"/>
  <c r="D456" i="2"/>
  <c r="F455" i="2"/>
  <c r="E455" i="2"/>
  <c r="D455" i="2"/>
  <c r="C455" i="2"/>
  <c r="B455" i="2"/>
  <c r="G451" i="2"/>
  <c r="F451" i="2"/>
  <c r="E451" i="2"/>
  <c r="D451" i="2"/>
  <c r="C451" i="2"/>
  <c r="B451" i="2"/>
  <c r="F447" i="2"/>
  <c r="E447" i="2"/>
  <c r="D447" i="2"/>
  <c r="C447" i="2"/>
  <c r="B447" i="2"/>
  <c r="F443" i="2"/>
  <c r="E443" i="2"/>
  <c r="D443" i="2"/>
  <c r="C443" i="2"/>
  <c r="B443" i="2"/>
  <c r="D439" i="2"/>
  <c r="C439" i="2"/>
  <c r="B439" i="2"/>
  <c r="J435" i="2"/>
  <c r="I435" i="2"/>
  <c r="H435" i="2"/>
  <c r="G435" i="2"/>
  <c r="F435" i="2"/>
  <c r="E435" i="2"/>
  <c r="D435" i="2"/>
  <c r="C435" i="2"/>
  <c r="B435" i="2"/>
  <c r="J431" i="2"/>
  <c r="I431" i="2"/>
  <c r="H431" i="2"/>
  <c r="G431" i="2"/>
  <c r="F431" i="2"/>
  <c r="E431" i="2"/>
  <c r="D431" i="2"/>
  <c r="C431" i="2"/>
  <c r="B431" i="2"/>
  <c r="I427" i="2"/>
  <c r="H427" i="2"/>
  <c r="G427" i="2"/>
  <c r="F427" i="2"/>
  <c r="E427" i="2"/>
  <c r="D427" i="2"/>
  <c r="C427" i="2"/>
  <c r="B427" i="2"/>
  <c r="K423" i="2"/>
  <c r="J423" i="2"/>
  <c r="I423" i="2"/>
  <c r="H423" i="2"/>
  <c r="G423" i="2"/>
  <c r="F423" i="2"/>
  <c r="E423" i="2"/>
  <c r="D423" i="2"/>
  <c r="C423" i="2"/>
  <c r="B423" i="2"/>
  <c r="H419" i="2"/>
  <c r="G419" i="2"/>
  <c r="F419" i="2"/>
  <c r="E419" i="2"/>
  <c r="D419" i="2"/>
  <c r="C419" i="2"/>
  <c r="B419" i="2"/>
  <c r="G415" i="2"/>
  <c r="F415" i="2"/>
  <c r="E415" i="2"/>
  <c r="D415" i="2"/>
  <c r="C415" i="2"/>
  <c r="B415" i="2"/>
  <c r="B413" i="2"/>
  <c r="G411" i="2"/>
  <c r="F411" i="2"/>
  <c r="E411" i="2"/>
  <c r="D411" i="2"/>
  <c r="C411" i="2"/>
  <c r="B411" i="2"/>
  <c r="F407" i="2"/>
  <c r="E407" i="2"/>
  <c r="D407" i="2"/>
  <c r="C407" i="2"/>
  <c r="B407" i="2"/>
  <c r="G403" i="2"/>
  <c r="F403" i="2"/>
  <c r="E403" i="2"/>
  <c r="D403" i="2"/>
  <c r="C403" i="2"/>
  <c r="B403" i="2"/>
  <c r="D399" i="2"/>
  <c r="C399" i="2"/>
  <c r="B399" i="2"/>
  <c r="F394" i="2"/>
  <c r="E394" i="2"/>
  <c r="D394" i="2"/>
  <c r="C394" i="2"/>
  <c r="B394" i="2"/>
  <c r="G390" i="2"/>
  <c r="F390" i="2"/>
  <c r="E390" i="2"/>
  <c r="D390" i="2"/>
  <c r="C390" i="2"/>
  <c r="B390" i="2"/>
  <c r="I386" i="2"/>
  <c r="H386" i="2"/>
  <c r="G386" i="2"/>
  <c r="F386" i="2"/>
  <c r="E386" i="2"/>
  <c r="D386" i="2"/>
  <c r="C386" i="2"/>
  <c r="B386" i="2"/>
  <c r="C382" i="2"/>
  <c r="B382" i="2"/>
  <c r="E378" i="2"/>
  <c r="D378" i="2"/>
  <c r="C378" i="2"/>
  <c r="B378" i="2"/>
  <c r="H374" i="2"/>
  <c r="G374" i="2"/>
  <c r="F374" i="2"/>
  <c r="E374" i="2"/>
  <c r="D374" i="2"/>
  <c r="C374" i="2"/>
  <c r="B374" i="2"/>
  <c r="D370" i="2"/>
  <c r="C370" i="2"/>
  <c r="B370" i="2"/>
  <c r="D366" i="2"/>
  <c r="C366" i="2"/>
  <c r="B366" i="2"/>
  <c r="E362" i="2"/>
  <c r="D362" i="2"/>
  <c r="C362" i="2"/>
  <c r="B362" i="2"/>
  <c r="B360" i="2"/>
  <c r="E358" i="2"/>
  <c r="D358" i="2"/>
  <c r="C358" i="2"/>
  <c r="B358" i="2"/>
  <c r="D354" i="2"/>
  <c r="C354" i="2"/>
  <c r="B354" i="2"/>
  <c r="D350" i="2"/>
  <c r="C350" i="2"/>
  <c r="B350" i="2"/>
  <c r="F346" i="2"/>
  <c r="E346" i="2"/>
  <c r="D346" i="2"/>
  <c r="C346" i="2"/>
  <c r="B346" i="2"/>
  <c r="C342" i="2"/>
  <c r="B342" i="2"/>
  <c r="F338" i="2"/>
  <c r="E338" i="2"/>
  <c r="D338" i="2"/>
  <c r="C338" i="2"/>
  <c r="B338" i="2"/>
  <c r="F334" i="2"/>
  <c r="E334" i="2"/>
  <c r="D334" i="2"/>
  <c r="C334" i="2"/>
  <c r="B334" i="2"/>
  <c r="H330" i="2"/>
  <c r="G330" i="2"/>
  <c r="F330" i="2"/>
  <c r="E330" i="2"/>
  <c r="D330" i="2"/>
  <c r="C330" i="2"/>
  <c r="B330" i="2"/>
  <c r="I326" i="2"/>
  <c r="H326" i="2"/>
  <c r="G326" i="2"/>
  <c r="F326" i="2"/>
  <c r="E326" i="2"/>
  <c r="D326" i="2"/>
  <c r="C326" i="2"/>
  <c r="B326" i="2"/>
  <c r="F322" i="2"/>
  <c r="E322" i="2"/>
  <c r="D322" i="2"/>
  <c r="C322" i="2"/>
  <c r="B322" i="2"/>
  <c r="B320" i="2"/>
  <c r="D318" i="2"/>
  <c r="C318" i="2"/>
  <c r="B318" i="2"/>
  <c r="C314" i="2"/>
  <c r="B314" i="2"/>
  <c r="E308" i="2"/>
  <c r="D308" i="2"/>
  <c r="C308" i="2"/>
  <c r="B308" i="2"/>
  <c r="B306" i="2"/>
  <c r="F304" i="2"/>
  <c r="E304" i="2"/>
  <c r="D304" i="2"/>
  <c r="C304" i="2"/>
  <c r="B304" i="2"/>
  <c r="B302" i="2"/>
  <c r="D301" i="2"/>
  <c r="F300" i="2"/>
  <c r="E300" i="2"/>
  <c r="D300" i="2"/>
  <c r="C300" i="2"/>
  <c r="B300" i="2"/>
  <c r="D296" i="2"/>
  <c r="C296" i="2"/>
  <c r="B296" i="2"/>
  <c r="E292" i="2"/>
  <c r="D292" i="2"/>
  <c r="C292" i="2"/>
  <c r="B292" i="2"/>
  <c r="D288" i="2"/>
  <c r="C288" i="2"/>
  <c r="B288" i="2"/>
  <c r="H284" i="2"/>
  <c r="G284" i="2"/>
  <c r="F284" i="2"/>
  <c r="E284" i="2"/>
  <c r="D284" i="2"/>
  <c r="C284" i="2"/>
  <c r="B284" i="2"/>
  <c r="H280" i="2"/>
  <c r="G280" i="2"/>
  <c r="F280" i="2"/>
  <c r="E280" i="2"/>
  <c r="D280" i="2"/>
  <c r="C280" i="2"/>
  <c r="B280" i="2"/>
  <c r="K276" i="2"/>
  <c r="J276" i="2"/>
  <c r="I276" i="2"/>
  <c r="H276" i="2"/>
  <c r="G276" i="2"/>
  <c r="F276" i="2"/>
  <c r="E276" i="2"/>
  <c r="D276" i="2"/>
  <c r="C276" i="2"/>
  <c r="B276" i="2"/>
  <c r="J272" i="2"/>
  <c r="I272" i="2"/>
  <c r="H272" i="2"/>
  <c r="G272" i="2"/>
  <c r="F272" i="2"/>
  <c r="E272" i="2"/>
  <c r="D272" i="2"/>
  <c r="C272" i="2"/>
  <c r="B272" i="2"/>
  <c r="J268" i="2"/>
  <c r="I268" i="2"/>
  <c r="H268" i="2"/>
  <c r="G268" i="2"/>
  <c r="F268" i="2"/>
  <c r="E268" i="2"/>
  <c r="D268" i="2"/>
  <c r="C268" i="2"/>
  <c r="B268" i="2"/>
  <c r="B266" i="2"/>
  <c r="G264" i="2"/>
  <c r="F264" i="2"/>
  <c r="E264" i="2"/>
  <c r="D264" i="2"/>
  <c r="C264" i="2"/>
  <c r="B264" i="2"/>
  <c r="B261" i="2"/>
  <c r="J259" i="2"/>
  <c r="I259" i="2"/>
  <c r="H259" i="2"/>
  <c r="G259" i="2"/>
  <c r="F259" i="2"/>
  <c r="E259" i="2"/>
  <c r="D259" i="2"/>
  <c r="C259" i="2"/>
  <c r="B259" i="2"/>
  <c r="G254" i="2"/>
  <c r="F254" i="2"/>
  <c r="E254" i="2"/>
  <c r="D254" i="2"/>
  <c r="C254" i="2"/>
  <c r="B254" i="2"/>
  <c r="H250" i="2"/>
  <c r="G250" i="2"/>
  <c r="F250" i="2"/>
  <c r="E250" i="2"/>
  <c r="D250" i="2"/>
  <c r="C250" i="2"/>
  <c r="B250" i="2"/>
  <c r="F245" i="2"/>
  <c r="E245" i="2"/>
  <c r="D245" i="2"/>
  <c r="C245" i="2"/>
  <c r="B245" i="2"/>
  <c r="D241" i="2"/>
  <c r="C241" i="2"/>
  <c r="B241" i="2"/>
  <c r="F236" i="2"/>
  <c r="E236" i="2"/>
  <c r="D236" i="2"/>
  <c r="C236" i="2"/>
  <c r="B236" i="2"/>
  <c r="K232" i="2"/>
  <c r="J232" i="2"/>
  <c r="I232" i="2"/>
  <c r="H232" i="2"/>
  <c r="G232" i="2"/>
  <c r="F232" i="2"/>
  <c r="E232" i="2"/>
  <c r="D232" i="2"/>
  <c r="C232" i="2"/>
  <c r="B232" i="2"/>
  <c r="G227" i="2"/>
  <c r="F227" i="2"/>
  <c r="E227" i="2"/>
  <c r="C227" i="2"/>
  <c r="B227" i="2"/>
  <c r="J223" i="2"/>
  <c r="I223" i="2"/>
  <c r="H223" i="2"/>
  <c r="G223" i="2"/>
  <c r="F223" i="2"/>
  <c r="E223" i="2"/>
  <c r="D223" i="2"/>
  <c r="C223" i="2"/>
  <c r="B223" i="2"/>
  <c r="F219" i="2"/>
  <c r="E219" i="2"/>
  <c r="D219" i="2"/>
  <c r="C219" i="2"/>
  <c r="B219" i="2"/>
  <c r="G215" i="2"/>
  <c r="F215" i="2"/>
  <c r="E215" i="2"/>
  <c r="D215" i="2"/>
  <c r="C215" i="2"/>
  <c r="B215" i="2"/>
  <c r="F209" i="2"/>
  <c r="E209" i="2"/>
  <c r="D209" i="2"/>
  <c r="C209" i="2"/>
  <c r="B209" i="2"/>
  <c r="F205" i="2"/>
  <c r="E205" i="2"/>
  <c r="D205" i="2"/>
  <c r="C205" i="2"/>
  <c r="B205" i="2"/>
  <c r="F201" i="2"/>
  <c r="E201" i="2"/>
  <c r="D201" i="2"/>
  <c r="C201" i="2"/>
  <c r="B201" i="2"/>
  <c r="F197" i="2"/>
  <c r="E197" i="2"/>
  <c r="D197" i="2"/>
  <c r="C197" i="2"/>
  <c r="B197" i="2"/>
  <c r="F193" i="2"/>
  <c r="E193" i="2"/>
  <c r="D193" i="2"/>
  <c r="C193" i="2"/>
  <c r="B193" i="2"/>
  <c r="G189" i="2"/>
  <c r="F189" i="2"/>
  <c r="E189" i="2"/>
  <c r="D189" i="2"/>
  <c r="C189" i="2"/>
  <c r="B189" i="2"/>
  <c r="I185" i="2"/>
  <c r="H185" i="2"/>
  <c r="G185" i="2"/>
  <c r="F185" i="2"/>
  <c r="E185" i="2"/>
  <c r="D185" i="2"/>
  <c r="C185" i="2"/>
  <c r="B185" i="2"/>
  <c r="E181" i="2"/>
  <c r="D181" i="2"/>
  <c r="C181" i="2"/>
  <c r="B181" i="2"/>
  <c r="F177" i="2"/>
  <c r="E177" i="2"/>
  <c r="D177" i="2"/>
  <c r="C177" i="2"/>
  <c r="B177" i="2"/>
  <c r="F173" i="2"/>
  <c r="E173" i="2"/>
  <c r="D173" i="2"/>
  <c r="C173" i="2"/>
  <c r="B173" i="2"/>
  <c r="F169" i="2"/>
  <c r="E169" i="2"/>
  <c r="D169" i="2"/>
  <c r="C169" i="2"/>
  <c r="B169" i="2"/>
  <c r="E165" i="2"/>
  <c r="D165" i="2"/>
  <c r="C165" i="2"/>
  <c r="B165" i="2"/>
  <c r="D161" i="2"/>
  <c r="C161" i="2"/>
  <c r="B161" i="2"/>
  <c r="G157" i="2"/>
  <c r="F157" i="2"/>
  <c r="E157" i="2"/>
  <c r="D157" i="2"/>
  <c r="C157" i="2"/>
  <c r="B157" i="2"/>
  <c r="D153" i="2"/>
  <c r="C153" i="2"/>
  <c r="B153" i="2"/>
  <c r="D149" i="2"/>
  <c r="C149" i="2"/>
  <c r="B149" i="2"/>
  <c r="D145" i="2"/>
  <c r="C145" i="2"/>
  <c r="B145" i="2"/>
  <c r="G141" i="2"/>
  <c r="F141" i="2"/>
  <c r="E141" i="2"/>
  <c r="D141" i="2"/>
  <c r="C141" i="2"/>
  <c r="B141" i="2"/>
  <c r="F137" i="2"/>
  <c r="E137" i="2"/>
  <c r="D137" i="2"/>
  <c r="C137" i="2"/>
  <c r="B137" i="2"/>
  <c r="F133" i="2"/>
  <c r="E133" i="2"/>
  <c r="D133" i="2"/>
  <c r="C133" i="2"/>
  <c r="B133" i="2"/>
  <c r="F129" i="2"/>
  <c r="E129" i="2"/>
  <c r="D129" i="2"/>
  <c r="C129" i="2"/>
  <c r="B129" i="2"/>
  <c r="F125" i="2"/>
  <c r="E125" i="2"/>
  <c r="D125" i="2"/>
  <c r="C125" i="2"/>
  <c r="B125" i="2"/>
  <c r="F121" i="2"/>
  <c r="E121" i="2"/>
  <c r="D121" i="2"/>
  <c r="C121" i="2"/>
  <c r="B121" i="2"/>
  <c r="I114" i="2"/>
  <c r="H114" i="2"/>
  <c r="G114" i="2"/>
  <c r="F114" i="2"/>
  <c r="E114" i="2"/>
  <c r="D114" i="2"/>
  <c r="C114" i="2"/>
  <c r="B114" i="2"/>
  <c r="F110" i="2"/>
  <c r="E110" i="2"/>
  <c r="D110" i="2"/>
  <c r="C110" i="2"/>
  <c r="B110" i="2"/>
  <c r="D106" i="2"/>
  <c r="C106" i="2"/>
  <c r="B106" i="2"/>
  <c r="I102" i="2"/>
  <c r="H102" i="2"/>
  <c r="G102" i="2"/>
  <c r="F102" i="2"/>
  <c r="E102" i="2"/>
  <c r="D102" i="2"/>
  <c r="C102" i="2"/>
  <c r="B102" i="2"/>
  <c r="G98" i="2"/>
  <c r="F98" i="2"/>
  <c r="E98" i="2"/>
  <c r="D98" i="2"/>
  <c r="C98" i="2"/>
  <c r="B98" i="2"/>
  <c r="J94" i="2"/>
  <c r="I94" i="2"/>
  <c r="H94" i="2"/>
  <c r="G94" i="2"/>
  <c r="F94" i="2"/>
  <c r="E94" i="2"/>
  <c r="D94" i="2"/>
  <c r="C94" i="2"/>
  <c r="B94" i="2"/>
  <c r="J90" i="2"/>
  <c r="I90" i="2"/>
  <c r="H90" i="2"/>
  <c r="G90" i="2"/>
  <c r="F90" i="2"/>
  <c r="E90" i="2"/>
  <c r="D90" i="2"/>
  <c r="C90" i="2"/>
  <c r="B90" i="2"/>
  <c r="I86" i="2"/>
  <c r="H86" i="2"/>
  <c r="G86" i="2"/>
  <c r="F86" i="2"/>
  <c r="E86" i="2"/>
  <c r="D86" i="2"/>
  <c r="C86" i="2"/>
  <c r="B86" i="2"/>
  <c r="I82" i="2"/>
  <c r="H82" i="2"/>
  <c r="G82" i="2"/>
  <c r="F82" i="2"/>
  <c r="E82" i="2"/>
  <c r="D82" i="2"/>
  <c r="C82" i="2"/>
  <c r="B82" i="2"/>
  <c r="B80" i="2"/>
  <c r="G78" i="2"/>
  <c r="F78" i="2"/>
  <c r="E78" i="2"/>
  <c r="D78" i="2"/>
  <c r="C78" i="2"/>
  <c r="B78" i="2"/>
  <c r="G74" i="2"/>
  <c r="F74" i="2"/>
  <c r="E74" i="2"/>
  <c r="D74" i="2"/>
  <c r="C74" i="2"/>
  <c r="B74" i="2"/>
  <c r="H70" i="2"/>
  <c r="G70" i="2"/>
  <c r="F70" i="2"/>
  <c r="E70" i="2"/>
  <c r="D70" i="2"/>
  <c r="C70" i="2"/>
  <c r="B70" i="2"/>
  <c r="D66" i="2"/>
  <c r="C66" i="2"/>
  <c r="B66" i="2"/>
  <c r="D62" i="2"/>
  <c r="C62" i="2"/>
  <c r="B62" i="2"/>
  <c r="F58" i="2"/>
  <c r="E58" i="2"/>
  <c r="D58" i="2"/>
  <c r="C58" i="2"/>
  <c r="B58" i="2"/>
  <c r="F54" i="2"/>
  <c r="E54" i="2"/>
  <c r="D54" i="2"/>
  <c r="C54" i="2"/>
  <c r="B54" i="2"/>
  <c r="K48" i="2"/>
  <c r="J48" i="2"/>
  <c r="I48" i="2"/>
  <c r="H48" i="2"/>
  <c r="G48" i="2"/>
  <c r="F48" i="2"/>
  <c r="E48" i="2"/>
  <c r="D48" i="2"/>
  <c r="C48" i="2"/>
  <c r="B48" i="2"/>
  <c r="K43" i="2"/>
  <c r="J43" i="2"/>
  <c r="I43" i="2"/>
  <c r="H43" i="2"/>
  <c r="G43" i="2"/>
  <c r="F43" i="2"/>
  <c r="E43" i="2"/>
  <c r="D43" i="2"/>
  <c r="C43" i="2"/>
  <c r="B43" i="2"/>
  <c r="B40" i="2"/>
  <c r="J38" i="2"/>
  <c r="I38" i="2"/>
  <c r="H38" i="2"/>
  <c r="G38" i="2"/>
  <c r="F38" i="2"/>
  <c r="E38" i="2"/>
  <c r="D38" i="2"/>
  <c r="C38" i="2"/>
  <c r="B38" i="2"/>
  <c r="J34" i="2"/>
  <c r="I34" i="2"/>
  <c r="H34" i="2"/>
  <c r="G34" i="2"/>
  <c r="F34" i="2"/>
  <c r="E34" i="2"/>
  <c r="D34" i="2"/>
  <c r="C34" i="2"/>
  <c r="B34" i="2"/>
  <c r="G30" i="2"/>
  <c r="F30" i="2"/>
  <c r="E30" i="2"/>
  <c r="D30" i="2"/>
  <c r="C30" i="2"/>
  <c r="B30" i="2"/>
  <c r="G26" i="2"/>
  <c r="F26" i="2"/>
  <c r="E26" i="2"/>
  <c r="D26" i="2"/>
  <c r="C26" i="2"/>
  <c r="B26" i="2"/>
  <c r="N22" i="2"/>
  <c r="M22" i="2"/>
  <c r="L22" i="2"/>
  <c r="K22" i="2"/>
  <c r="J22" i="2"/>
  <c r="I22" i="2"/>
  <c r="G22" i="2"/>
  <c r="F22" i="2"/>
  <c r="E22" i="2"/>
  <c r="D22" i="2"/>
  <c r="C22" i="2"/>
  <c r="B22" i="2"/>
  <c r="N18" i="2"/>
  <c r="M18" i="2"/>
  <c r="L18" i="2"/>
  <c r="K18" i="2"/>
  <c r="J18" i="2"/>
  <c r="I18" i="2"/>
  <c r="G18" i="2"/>
  <c r="F18" i="2"/>
  <c r="E18" i="2"/>
  <c r="D18" i="2"/>
  <c r="C18" i="2"/>
  <c r="B18" i="2"/>
  <c r="I14" i="2"/>
  <c r="H14" i="2"/>
  <c r="G14" i="2"/>
  <c r="F14" i="2"/>
  <c r="E14" i="2"/>
  <c r="D14" i="2"/>
  <c r="C14" i="2"/>
  <c r="B14" i="2"/>
  <c r="B12" i="2"/>
  <c r="I10" i="2"/>
  <c r="H10" i="2"/>
  <c r="G10" i="2"/>
  <c r="F10" i="2"/>
  <c r="E10" i="2"/>
  <c r="D10" i="2"/>
  <c r="C10" i="2"/>
  <c r="B10" i="2"/>
  <c r="G6" i="2"/>
  <c r="F6" i="2"/>
  <c r="E6" i="2"/>
  <c r="D6" i="2"/>
  <c r="C6" i="2"/>
  <c r="B6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<sst xmlns="http://schemas.openxmlformats.org/spreadsheetml/2006/main" count="3019" uniqueCount="1317">
  <si>
    <t>Toothpaste (short)</t>
  </si>
  <si>
    <t>ɑ:</t>
  </si>
  <si>
    <t>Father</t>
  </si>
  <si>
    <t>a:β</t>
  </si>
  <si>
    <t>Life</t>
  </si>
  <si>
    <t>æmdɾəs</t>
  </si>
  <si>
    <t>Son's daughter</t>
  </si>
  <si>
    <t>æʧʰ axʊ̃ŋ</t>
  </si>
  <si>
    <t>Son's son</t>
  </si>
  <si>
    <t>Same</t>
  </si>
  <si>
    <t>ætɪɬxə̃ŋ</t>
  </si>
  <si>
    <t>University student</t>
  </si>
  <si>
    <t>ɑjɵtʰaŋ</t>
  </si>
  <si>
    <t>Kill</t>
  </si>
  <si>
    <t>Many</t>
  </si>
  <si>
    <t>ɑɬɔ̃ŋ</t>
  </si>
  <si>
    <t>Unit of measurement</t>
  </si>
  <si>
    <t>aɬt</t>
  </si>
  <si>
    <t>Lose</t>
  </si>
  <si>
    <t>Gold</t>
  </si>
  <si>
    <t>aɬtʰ</t>
  </si>
  <si>
    <t>Walk</t>
  </si>
  <si>
    <t>Ten</t>
  </si>
  <si>
    <t>arəβ</t>
  </si>
  <si>
    <t>art</t>
  </si>
  <si>
    <t>Star</t>
  </si>
  <si>
    <t>ɑt</t>
  </si>
  <si>
    <t>Older brother</t>
  </si>
  <si>
    <t>ax</t>
  </si>
  <si>
    <t>Daughter</t>
  </si>
  <si>
    <t>axʊ̃ŋ</t>
  </si>
  <si>
    <t>Uncle</t>
  </si>
  <si>
    <t>aβ̞ɔq</t>
  </si>
  <si>
    <t>Take</t>
  </si>
  <si>
    <t>Different</t>
  </si>
  <si>
    <t>ɔ:ɾ</t>
  </si>
  <si>
    <t>Do</t>
  </si>
  <si>
    <t>Say</t>
  </si>
  <si>
    <t>Useful</t>
  </si>
  <si>
    <t>ɕɪɾɪkʦʰe:tʰe</t>
  </si>
  <si>
    <t>Cut</t>
  </si>
  <si>
    <t>Cheap</t>
  </si>
  <si>
    <t>Sleep</t>
  </si>
  <si>
    <t>Front</t>
  </si>
  <si>
    <t>ɔrt</t>
  </si>
  <si>
    <t>ɔrtʰ</t>
  </si>
  <si>
    <t>Water</t>
  </si>
  <si>
    <t>ɔs</t>
  </si>
  <si>
    <t>Dig</t>
  </si>
  <si>
    <t>Mother</t>
  </si>
  <si>
    <t>e:ʧʰ</t>
  </si>
  <si>
    <t>Animal</t>
  </si>
  <si>
    <t>æmtʰãŋ</t>
  </si>
  <si>
    <t>Older sister</t>
  </si>
  <si>
    <t>ɪkʧʰ</t>
  </si>
  <si>
    <t>Sand</t>
  </si>
  <si>
    <t>ɪɬs</t>
  </si>
  <si>
    <t>Enroll</t>
  </si>
  <si>
    <t>Female</t>
  </si>
  <si>
    <t>ɪm</t>
  </si>
  <si>
    <t>Grandmother</t>
  </si>
  <si>
    <t>ɪme:</t>
  </si>
  <si>
    <t>Woman</t>
  </si>
  <si>
    <t>ɪmɪktʰe:</t>
  </si>
  <si>
    <t>Woman (2)</t>
  </si>
  <si>
    <t>ɪmɪktʰe:xuŋ</t>
  </si>
  <si>
    <t>Knife tip</t>
  </si>
  <si>
    <t>iɾ</t>
  </si>
  <si>
    <t>Male</t>
  </si>
  <si>
    <t>ɪɾ</t>
  </si>
  <si>
    <t>Come</t>
  </si>
  <si>
    <t>Seak</t>
  </si>
  <si>
    <t>Man</t>
  </si>
  <si>
    <t>ɪɾɪktʰe:</t>
  </si>
  <si>
    <t>Man (2)</t>
  </si>
  <si>
    <t>ɪɾɪktʰe:xuŋ</t>
  </si>
  <si>
    <t>Healthy</t>
  </si>
  <si>
    <t>ɪɾu:ɬ</t>
  </si>
  <si>
    <t>Health</t>
  </si>
  <si>
    <t>ɪɾu:ɬ mɪnd</t>
  </si>
  <si>
    <t>Eat</t>
  </si>
  <si>
    <t>Wife</t>
  </si>
  <si>
    <t>ɪxnɪr</t>
  </si>
  <si>
    <t>Bone</t>
  </si>
  <si>
    <t>jæs</t>
  </si>
  <si>
    <t>Talk</t>
  </si>
  <si>
    <t>Hand</t>
  </si>
  <si>
    <t>kar</t>
  </si>
  <si>
    <t>Stomach</t>
  </si>
  <si>
    <t>ketɪs</t>
  </si>
  <si>
    <t>Run</t>
  </si>
  <si>
    <t>Mongolia</t>
  </si>
  <si>
    <t>mɑŋkɑɬ</t>
  </si>
  <si>
    <t>Meat</t>
  </si>
  <si>
    <t>max</t>
  </si>
  <si>
    <t>Bad</t>
  </si>
  <si>
    <t>mɔ:</t>
  </si>
  <si>
    <t>Tree</t>
  </si>
  <si>
    <t>mɔt</t>
  </si>
  <si>
    <t>Know</t>
  </si>
  <si>
    <t>Silver</t>
  </si>
  <si>
    <t>moŋk</t>
  </si>
  <si>
    <t>Horse</t>
  </si>
  <si>
    <t>mørø</t>
  </si>
  <si>
    <t>Short (height)</t>
  </si>
  <si>
    <t>nam xɑ̃ŋ</t>
  </si>
  <si>
    <t>Leaf</t>
  </si>
  <si>
    <t>Sun</t>
  </si>
  <si>
    <t>naɾ</t>
  </si>
  <si>
    <t>Back</t>
  </si>
  <si>
    <t>nɔɾɔ:</t>
  </si>
  <si>
    <t>Norov</t>
  </si>
  <si>
    <t>nɔɾoβ̞</t>
  </si>
  <si>
    <t>Dog</t>
  </si>
  <si>
    <t>nəxɶʁ</t>
  </si>
  <si>
    <t>One</t>
  </si>
  <si>
    <t>nɪk</t>
  </si>
  <si>
    <t>Fly</t>
  </si>
  <si>
    <t>Wet</t>
  </si>
  <si>
    <t>nɶtʰə̃ŋ</t>
  </si>
  <si>
    <t>Eye</t>
  </si>
  <si>
    <t>Husband</t>
  </si>
  <si>
    <t>nʊxʊr</t>
  </si>
  <si>
    <t>Forest</t>
  </si>
  <si>
    <t>ɶ:</t>
  </si>
  <si>
    <t>Mountain</t>
  </si>
  <si>
    <t>o:ɬ</t>
  </si>
  <si>
    <t>Cry</t>
  </si>
  <si>
    <t>Near</t>
  </si>
  <si>
    <t>ɶ:rxəŋ</t>
  </si>
  <si>
    <t>Give</t>
  </si>
  <si>
    <t>Tall</t>
  </si>
  <si>
    <t>ɵntʉr</t>
  </si>
  <si>
    <t>Sickness</t>
  </si>
  <si>
    <t>Sick</t>
  </si>
  <si>
    <t>Drink</t>
  </si>
  <si>
    <t>Grass</t>
  </si>
  <si>
    <t>oβ̞s</t>
  </si>
  <si>
    <t>Knee</t>
  </si>
  <si>
    <t>oβ̞tʊk</t>
  </si>
  <si>
    <t>House</t>
  </si>
  <si>
    <t>pæʃɪŋ</t>
  </si>
  <si>
    <t>Thank you</t>
  </si>
  <si>
    <t>paɪɾɬa:</t>
  </si>
  <si>
    <t>Teacher</t>
  </si>
  <si>
    <t>pakʃ</t>
  </si>
  <si>
    <t>Education</t>
  </si>
  <si>
    <t>pɑɬəβsɾaɬ</t>
  </si>
  <si>
    <t>Rain (noun)</t>
  </si>
  <si>
    <t>pɑɾɑ:</t>
  </si>
  <si>
    <t>Rain (verb)</t>
  </si>
  <si>
    <t>Dirty</t>
  </si>
  <si>
    <t>pəxʊr</t>
  </si>
  <si>
    <t>Building</t>
  </si>
  <si>
    <t>pɛrɬəq</t>
  </si>
  <si>
    <t>Cold</t>
  </si>
  <si>
    <t>pi</t>
  </si>
  <si>
    <t>Body</t>
  </si>
  <si>
    <t>pij</t>
  </si>
  <si>
    <t>Short (length) (1)</t>
  </si>
  <si>
    <t xml:space="preserve">pɵgɪn </t>
  </si>
  <si>
    <t>Short (length) (2)</t>
  </si>
  <si>
    <t>pɵgɪn xɑ̃ŋ</t>
  </si>
  <si>
    <t>Son</t>
  </si>
  <si>
    <t>Child</t>
  </si>
  <si>
    <t>Old</t>
  </si>
  <si>
    <t>Music</t>
  </si>
  <si>
    <t>Strong</t>
  </si>
  <si>
    <t>Neck</t>
  </si>
  <si>
    <t>qaɬ</t>
  </si>
  <si>
    <t>River</t>
  </si>
  <si>
    <t>qɑɬ</t>
  </si>
  <si>
    <t>Pig</t>
  </si>
  <si>
    <t>qaxæ:</t>
  </si>
  <si>
    <t>Beg</t>
  </si>
  <si>
    <t>Mouse</t>
  </si>
  <si>
    <t>qɔɬɣan</t>
  </si>
  <si>
    <t>Three</t>
  </si>
  <si>
    <t>qoraβə</t>
  </si>
  <si>
    <t>Listen</t>
  </si>
  <si>
    <t>Moon</t>
  </si>
  <si>
    <t>saɾ</t>
  </si>
  <si>
    <t>High school student</t>
  </si>
  <si>
    <t>sɔɾakʧʰ</t>
  </si>
  <si>
    <t>Learn</t>
  </si>
  <si>
    <t>Bird</t>
  </si>
  <si>
    <t>ʃɔβ̞ɔ</t>
  </si>
  <si>
    <t>Chair</t>
  </si>
  <si>
    <t>səntəɬ</t>
  </si>
  <si>
    <t>Wind</t>
  </si>
  <si>
    <t>Table</t>
  </si>
  <si>
    <t>ʃɪɾe:</t>
  </si>
  <si>
    <t>Night</t>
  </si>
  <si>
    <t>ʃʊnə</t>
  </si>
  <si>
    <t>Tooth</t>
  </si>
  <si>
    <t>ʃut</t>
  </si>
  <si>
    <t>Toothpaste (long)</t>
  </si>
  <si>
    <t>ʃutni:a:</t>
  </si>
  <si>
    <t>Seven</t>
  </si>
  <si>
    <t>tɑɬɑ:</t>
  </si>
  <si>
    <t>Ocean</t>
  </si>
  <si>
    <t>taɬæ</t>
  </si>
  <si>
    <t>Weak</t>
  </si>
  <si>
    <t>tɑɾæ:</t>
  </si>
  <si>
    <t>Count</t>
  </si>
  <si>
    <t>Dust</t>
  </si>
  <si>
    <t>tʰɑ:s</t>
  </si>
  <si>
    <t>Head</t>
  </si>
  <si>
    <t>tʰɑɬʁə</t>
  </si>
  <si>
    <t>Big</t>
  </si>
  <si>
    <t>tʰɑm</t>
  </si>
  <si>
    <t>Pull</t>
  </si>
  <si>
    <t>Five</t>
  </si>
  <si>
    <t>tʰaβ</t>
  </si>
  <si>
    <t>Chicken</t>
  </si>
  <si>
    <t>tʰe̤xæ</t>
  </si>
  <si>
    <t>Ear</t>
  </si>
  <si>
    <t>Sky</t>
  </si>
  <si>
    <t>tʰiŋkɪr</t>
  </si>
  <si>
    <t>War fight (verb)</t>
  </si>
  <si>
    <t>ʧʰoɬo:</t>
  </si>
  <si>
    <t>Desert</t>
  </si>
  <si>
    <t>tʰʊɬ</t>
  </si>
  <si>
    <t>Banish</t>
  </si>
  <si>
    <t>Sink</t>
  </si>
  <si>
    <t>Diaper</t>
  </si>
  <si>
    <t>ʧɪβx</t>
  </si>
  <si>
    <t>Sing</t>
  </si>
  <si>
    <t>Younger sibling</t>
  </si>
  <si>
    <t>tu:</t>
  </si>
  <si>
    <t>Push</t>
  </si>
  <si>
    <t>Four</t>
  </si>
  <si>
    <t>tuɾuβ</t>
  </si>
  <si>
    <t>Teach</t>
  </si>
  <si>
    <t>Young</t>
  </si>
  <si>
    <t>ʦaɬo:</t>
  </si>
  <si>
    <t>Lazy</t>
  </si>
  <si>
    <t>ʦaɬxo:</t>
  </si>
  <si>
    <t>Road</t>
  </si>
  <si>
    <t>ʦam</t>
  </si>
  <si>
    <t>ʦaʁas</t>
  </si>
  <si>
    <t>Zoljargal</t>
  </si>
  <si>
    <t>ʦɔɮʧarɣaɬ</t>
  </si>
  <si>
    <t>Six</t>
  </si>
  <si>
    <t>ʦɔrɣa:</t>
  </si>
  <si>
    <t>Paper</t>
  </si>
  <si>
    <t>ʦʰa:s</t>
  </si>
  <si>
    <t>Castle</t>
  </si>
  <si>
    <t>ʦʰæ:ʦʰ</t>
  </si>
  <si>
    <t>White</t>
  </si>
  <si>
    <t>ʦʰaɣaŋ</t>
  </si>
  <si>
    <t>Platinum</t>
  </si>
  <si>
    <t>ʦʰaɣaŋ aɫtʰ</t>
  </si>
  <si>
    <t>Window</t>
  </si>
  <si>
    <t>ʦʰãŋx</t>
  </si>
  <si>
    <t>Snow (noun)</t>
  </si>
  <si>
    <t>ʦʰas</t>
  </si>
  <si>
    <t>Snow (verb)</t>
  </si>
  <si>
    <t>Blood</t>
  </si>
  <si>
    <t>ʦʰɔs</t>
  </si>
  <si>
    <t>Chest</t>
  </si>
  <si>
    <r>
      <t>ʦʰe:</t>
    </r>
    <r>
      <rPr>
        <sz val="11"/>
        <color theme="1"/>
        <rFont val="Calibri"/>
        <family val="2"/>
      </rPr>
      <t>ʧʰ</t>
    </r>
  </si>
  <si>
    <t>Menu</t>
  </si>
  <si>
    <t>ʦʰɪs</t>
  </si>
  <si>
    <t>Flower</t>
  </si>
  <si>
    <t>ʦʰiʦʰɪk</t>
  </si>
  <si>
    <t>Bile</t>
  </si>
  <si>
    <t>ʦʰʊs</t>
  </si>
  <si>
    <t>Few</t>
  </si>
  <si>
    <t>ʦʰʊxuŋ</t>
  </si>
  <si>
    <t>Copper</t>
  </si>
  <si>
    <t>ʦɪs</t>
  </si>
  <si>
    <t>Wart</t>
  </si>
  <si>
    <t>u:</t>
  </si>
  <si>
    <t>Cloud</t>
  </si>
  <si>
    <t>u:ɬ</t>
  </si>
  <si>
    <t>ʊ:x</t>
  </si>
  <si>
    <t>Ulaan Baatar</t>
  </si>
  <si>
    <t>ʊɬa:ŋ pa:tar</t>
  </si>
  <si>
    <t>Blow</t>
  </si>
  <si>
    <t>Starve</t>
  </si>
  <si>
    <t>Egg</t>
  </si>
  <si>
    <t>ʊndʊk</t>
  </si>
  <si>
    <t>Cow</t>
  </si>
  <si>
    <t>une:</t>
  </si>
  <si>
    <t>Expensive</t>
  </si>
  <si>
    <t>untʰe</t>
  </si>
  <si>
    <t>Die</t>
  </si>
  <si>
    <t>Hair</t>
  </si>
  <si>
    <t>us</t>
  </si>
  <si>
    <t>Noon</t>
  </si>
  <si>
    <t>ut</t>
  </si>
  <si>
    <t>Feather</t>
  </si>
  <si>
    <t>ʊt</t>
  </si>
  <si>
    <t>Bug</t>
  </si>
  <si>
    <t>ʊtʰ</t>
  </si>
  <si>
    <t>Day</t>
  </si>
  <si>
    <t>ʊtʊr</t>
  </si>
  <si>
    <t>Grandfather</t>
  </si>
  <si>
    <t>ʊβ̞ʊ:</t>
  </si>
  <si>
    <t>Food</t>
  </si>
  <si>
    <t>xɑ:ɬ</t>
  </si>
  <si>
    <t>Door</t>
  </si>
  <si>
    <t>xa:ɬəq</t>
  </si>
  <si>
    <t>Look for</t>
  </si>
  <si>
    <t>Melt</t>
  </si>
  <si>
    <t>Wife (respectful)</t>
  </si>
  <si>
    <t>xæɲ</t>
  </si>
  <si>
    <t>Address</t>
  </si>
  <si>
    <t>xaɪk</t>
  </si>
  <si>
    <t>Two</t>
  </si>
  <si>
    <t>xɑjər</t>
  </si>
  <si>
    <t>Far</t>
  </si>
  <si>
    <t>xɑɬ</t>
  </si>
  <si>
    <t>Move away</t>
  </si>
  <si>
    <t>Wall</t>
  </si>
  <si>
    <t>xan</t>
  </si>
  <si>
    <t>Black</t>
  </si>
  <si>
    <t>xar</t>
  </si>
  <si>
    <t>Rock (In mountains)</t>
  </si>
  <si>
    <t>xat</t>
  </si>
  <si>
    <t>Nail (noun)</t>
  </si>
  <si>
    <t>xata:s</t>
  </si>
  <si>
    <t>City</t>
  </si>
  <si>
    <t>xɑtʰ</t>
  </si>
  <si>
    <t>Bite</t>
  </si>
  <si>
    <t>Sleep over</t>
  </si>
  <si>
    <t>xən</t>
  </si>
  <si>
    <t>Sharp</t>
  </si>
  <si>
    <t>xɔɾsʦʰ</t>
  </si>
  <si>
    <t>Sheep</t>
  </si>
  <si>
    <t>xəɲ</t>
  </si>
  <si>
    <t>From a sheep</t>
  </si>
  <si>
    <t>xəɲnɑs</t>
  </si>
  <si>
    <t>Argue</t>
  </si>
  <si>
    <t>Dry</t>
  </si>
  <si>
    <t>xo:ræ</t>
  </si>
  <si>
    <t>Mix</t>
  </si>
  <si>
    <t>Male sheep</t>
  </si>
  <si>
    <t>xoʦʰ</t>
  </si>
  <si>
    <t>Foot</t>
  </si>
  <si>
    <t>xʊɬ</t>
  </si>
  <si>
    <t>Freeze</t>
  </si>
  <si>
    <t>Valley</t>
  </si>
  <si>
    <t>xʊndi:</t>
  </si>
  <si>
    <t>Soil</t>
  </si>
  <si>
    <t>xʊɾs</t>
  </si>
  <si>
    <t>Float</t>
  </si>
  <si>
    <t>Vase</t>
  </si>
  <si>
    <t>βa:r</t>
  </si>
  <si>
    <t>Peas</t>
  </si>
  <si>
    <t>βəndy</t>
  </si>
  <si>
    <t>xjɛmtʰxãŋ</t>
  </si>
  <si>
    <t>ʧʰix</t>
  </si>
  <si>
    <t>sɛɬɪx</t>
  </si>
  <si>
    <t>xu:xβ̞ɨt</t>
  </si>
  <si>
    <t>xɥitɪŋ</t>
  </si>
  <si>
    <t>naxʧʰ</t>
  </si>
  <si>
    <t>xʊkʧɪŋ</t>
  </si>
  <si>
    <t>xuʦuɔ</t>
  </si>
  <si>
    <t>xʊkʃɪŋ</t>
  </si>
  <si>
    <t>oxʧʰtʰe</t>
  </si>
  <si>
    <t>oxʧʰɪŋ</t>
  </si>
  <si>
    <t>xu:</t>
  </si>
  <si>
    <t>æʧʰ xu:</t>
  </si>
  <si>
    <t>xuʧʰtʰe</t>
  </si>
  <si>
    <t>ʦaɬo</t>
  </si>
  <si>
    <t>puskɥi</t>
  </si>
  <si>
    <t>FUT PART</t>
  </si>
  <si>
    <t xml:space="preserve"> -x</t>
  </si>
  <si>
    <t xml:space="preserve"> -ʧ</t>
  </si>
  <si>
    <t>mɪtɪ</t>
  </si>
  <si>
    <t>Tea</t>
  </si>
  <si>
    <t>ʦæ</t>
  </si>
  <si>
    <t>GEN</t>
  </si>
  <si>
    <t>o GEN</t>
  </si>
  <si>
    <t xml:space="preserve"> -kin</t>
  </si>
  <si>
    <t xml:space="preserve"> -n</t>
  </si>
  <si>
    <t xml:space="preserve"> -ni</t>
  </si>
  <si>
    <t>i GEN</t>
  </si>
  <si>
    <t xml:space="preserve"> -in</t>
  </si>
  <si>
    <t>paɬt</t>
  </si>
  <si>
    <t>Book</t>
  </si>
  <si>
    <t>nam</t>
  </si>
  <si>
    <t>This</t>
  </si>
  <si>
    <t>ɪn</t>
  </si>
  <si>
    <t>is</t>
  </si>
  <si>
    <t>Car</t>
  </si>
  <si>
    <t>maʃin</t>
  </si>
  <si>
    <t>n GEN</t>
  </si>
  <si>
    <t xml:space="preserve"> -i</t>
  </si>
  <si>
    <t>woman</t>
  </si>
  <si>
    <t>man</t>
  </si>
  <si>
    <t>front</t>
  </si>
  <si>
    <t>"The woman is in front of the man"</t>
  </si>
  <si>
    <t>Woman (formal)</t>
  </si>
  <si>
    <t>Man (male)</t>
  </si>
  <si>
    <t>"The man is behind the woman"</t>
  </si>
  <si>
    <t>1a</t>
  </si>
  <si>
    <t>1b</t>
  </si>
  <si>
    <t>1c</t>
  </si>
  <si>
    <t>1d</t>
  </si>
  <si>
    <t>2a</t>
  </si>
  <si>
    <t>water</t>
  </si>
  <si>
    <t>tea</t>
  </si>
  <si>
    <t>2b</t>
  </si>
  <si>
    <t>"The water is in front of the tea"</t>
  </si>
  <si>
    <t>2c</t>
  </si>
  <si>
    <t>2d</t>
  </si>
  <si>
    <t xml:space="preserve"> -t</t>
  </si>
  <si>
    <t>two</t>
  </si>
  <si>
    <t>alv GEN</t>
  </si>
  <si>
    <t>tond</t>
  </si>
  <si>
    <t>between</t>
  </si>
  <si>
    <t>"The water is between me and the tea"</t>
  </si>
  <si>
    <t>car</t>
  </si>
  <si>
    <t>side</t>
  </si>
  <si>
    <t>taɬ</t>
  </si>
  <si>
    <t>LOC</t>
  </si>
  <si>
    <t>white</t>
  </si>
  <si>
    <t>color</t>
  </si>
  <si>
    <t>ʊŋktʰe</t>
  </si>
  <si>
    <t xml:space="preserve"> -side</t>
  </si>
  <si>
    <t>xaʧo</t>
  </si>
  <si>
    <t>PL a</t>
  </si>
  <si>
    <t>PL b</t>
  </si>
  <si>
    <t>pl a</t>
  </si>
  <si>
    <t>pl b</t>
  </si>
  <si>
    <t>"The sides of the car are white"</t>
  </si>
  <si>
    <t>"-n"is optional</t>
  </si>
  <si>
    <t>"-n" might not be possible</t>
  </si>
  <si>
    <t>5a</t>
  </si>
  <si>
    <t>5b</t>
  </si>
  <si>
    <t>"The two sides of the car are white"</t>
  </si>
  <si>
    <t>If "two is added, no plural marker is needed</t>
  </si>
  <si>
    <t>Bolt</t>
  </si>
  <si>
    <t>2/23 - Directions / Locations</t>
  </si>
  <si>
    <t>2/28 - Possessives and directions / locations continued</t>
  </si>
  <si>
    <t>this</t>
  </si>
  <si>
    <t>book</t>
  </si>
  <si>
    <t>xærʦʰək</t>
  </si>
  <si>
    <t>Box</t>
  </si>
  <si>
    <t>Side</t>
  </si>
  <si>
    <t>Color</t>
  </si>
  <si>
    <t>Between</t>
  </si>
  <si>
    <t>box</t>
  </si>
  <si>
    <t>nu:r</t>
  </si>
  <si>
    <t>Face</t>
  </si>
  <si>
    <t>nut</t>
  </si>
  <si>
    <t>"This is Bolt's book."</t>
  </si>
  <si>
    <t>"This is the man's book."</t>
  </si>
  <si>
    <t>"The tea's box."</t>
  </si>
  <si>
    <t>"This is a car."</t>
  </si>
  <si>
    <t>paɬɔ:r</t>
  </si>
  <si>
    <t>Eraser</t>
  </si>
  <si>
    <t>Pen</t>
  </si>
  <si>
    <t>ʊʦɨk</t>
  </si>
  <si>
    <t>eraser</t>
  </si>
  <si>
    <t>pen</t>
  </si>
  <si>
    <t>"The eraser is next to the pen."</t>
  </si>
  <si>
    <t>table</t>
  </si>
  <si>
    <t>te:r</t>
  </si>
  <si>
    <t>"The eraser is on the table."</t>
  </si>
  <si>
    <t>left</t>
  </si>
  <si>
    <t>hand</t>
  </si>
  <si>
    <t>i Gen</t>
  </si>
  <si>
    <t>Left</t>
  </si>
  <si>
    <t>Right</t>
  </si>
  <si>
    <t>right</t>
  </si>
  <si>
    <t>"The eraser is to the left of the pen."</t>
  </si>
  <si>
    <t>"The pen is to the right of the eraser."</t>
  </si>
  <si>
    <t>SF</t>
  </si>
  <si>
    <t>san fransisko</t>
  </si>
  <si>
    <t>SJ</t>
  </si>
  <si>
    <t>san xoze</t>
  </si>
  <si>
    <t>xɶ: -n can be used instead of art</t>
  </si>
  <si>
    <t>xɶ:</t>
  </si>
  <si>
    <t>Attaches to spacial roots such as [xɶ:] to form locational adverb (e.g. "behind")</t>
  </si>
  <si>
    <t>DIR</t>
  </si>
  <si>
    <t>Rear</t>
  </si>
  <si>
    <t>Behind</t>
  </si>
  <si>
    <t>is a "spacial root." -n attaches to form locational adverb; -t attaches to form directional locative "North."</t>
  </si>
  <si>
    <t>rear</t>
  </si>
  <si>
    <t>ʦu:n</t>
  </si>
  <si>
    <t>ʦuk</t>
  </si>
  <si>
    <t>way</t>
  </si>
  <si>
    <t>attaches to directions (e.g. North, South, etc)</t>
  </si>
  <si>
    <t>The durative tense suffix, expressing future for dynamic verbs and present for stative verbs</t>
  </si>
  <si>
    <t>pæ:</t>
  </si>
  <si>
    <t>"SF is north of SJ."</t>
  </si>
  <si>
    <t>"SF is located north of SJ."</t>
  </si>
  <si>
    <t>above</t>
  </si>
  <si>
    <t xml:space="preserve">Also used for "on top of" or "on." </t>
  </si>
  <si>
    <t>"SF is above SJ."</t>
  </si>
  <si>
    <t>Can also use [pærɬtɨk]</t>
  </si>
  <si>
    <t>also "east"</t>
  </si>
  <si>
    <t>also "west"</t>
  </si>
  <si>
    <t>also "south"</t>
  </si>
  <si>
    <t>house</t>
  </si>
  <si>
    <t>"The building behind (your building)."</t>
  </si>
  <si>
    <t>"San Jose is South of San Francisco."</t>
  </si>
  <si>
    <t>https://en.wiktionary.org/wiki/-%D0%B4#Mongolian</t>
  </si>
  <si>
    <t>One type of plural marker</t>
  </si>
  <si>
    <t>https://en.wiktionary.org/wiki/-%D2%AF%D2%AF%D0%B4#Mongolian</t>
  </si>
  <si>
    <t>https://en.wiktionary.org/wiki/-%D1%82#Mongolian</t>
  </si>
  <si>
    <t>https://en.wiktionary.org/wiki/-%D1%85#Mongolian</t>
  </si>
  <si>
    <t>https://en.wiktionary.org/wiki/-%D0%B6#Mongolian</t>
  </si>
  <si>
    <t>general genitive marker (the "elsewhere" form)</t>
  </si>
  <si>
    <t>genitive marker used for words ending with an alveolar (e.g /t/ and /r/)</t>
  </si>
  <si>
    <t>genitive marker used for words ending with /n/</t>
  </si>
  <si>
    <t>genitive marker used for words ending with /o/</t>
  </si>
  <si>
    <t>genitive marker used for words ending with /i/ or /e/</t>
  </si>
  <si>
    <t>https://en.wiktionary.org/wiki/%D1%8D%D0%BD%D1%8D</t>
  </si>
  <si>
    <t>https://en.wiktionary.org/wiki/%D0%B7%D2%AF%D0%B3</t>
  </si>
  <si>
    <t>https://en.wiktionary.org/wiki/-%D0%B4%D0%B0%D0%B3#Mongolian</t>
  </si>
  <si>
    <t>https://en.wiktionary.org/wiki/-%D0%BD%D0%B0#Mongolian</t>
  </si>
  <si>
    <t>https://en.wiktionary.org/wiki/%D0%B1%D0%B0%D0%B9%D1%80</t>
  </si>
  <si>
    <r>
      <t xml:space="preserve">habitual participle; indicates a sense of permanence. </t>
    </r>
    <r>
      <rPr>
        <b/>
        <sz val="11"/>
        <color rgb="FFFF0000"/>
        <rFont val="Calibri"/>
        <family val="2"/>
        <scheme val="minor"/>
      </rPr>
      <t>Find other verbs this can attach to.</t>
    </r>
  </si>
  <si>
    <t>[mi] seems to derive from [bi] "1sg" and [nij] from [ni] GEN</t>
  </si>
  <si>
    <t>"The table is in front of me."</t>
  </si>
  <si>
    <t>taɬt is optional</t>
  </si>
  <si>
    <t>ocean</t>
  </si>
  <si>
    <t>"The ocean is west of San Jose</t>
  </si>
  <si>
    <t>Ocean can be at beginning of sentence before San Jose</t>
  </si>
  <si>
    <t>3/2 - Violence and Sense verbs</t>
  </si>
  <si>
    <t>Bat</t>
  </si>
  <si>
    <t>pɑt</t>
  </si>
  <si>
    <t>male name</t>
  </si>
  <si>
    <t xml:space="preserve"> -β</t>
  </si>
  <si>
    <t>https://en.wiktionary.org/wiki/-%D1%81%D0%B0%D0%BD#Mongolian</t>
  </si>
  <si>
    <t>https://en.wiktionary.org/wiki/-%D0%B2#Mongolian</t>
  </si>
  <si>
    <t>Zoloo</t>
  </si>
  <si>
    <t>ʦɑɬɑ:</t>
  </si>
  <si>
    <t>Zoe's nick name</t>
  </si>
  <si>
    <t>Catch</t>
  </si>
  <si>
    <t>ACC</t>
  </si>
  <si>
    <t>bat</t>
  </si>
  <si>
    <t>zoloo</t>
  </si>
  <si>
    <t>catch</t>
  </si>
  <si>
    <t>u-like sound seems to come from lip constriction when -β follows</t>
  </si>
  <si>
    <t>xɪɾɪɬt(ɪ)</t>
  </si>
  <si>
    <t>tʰʊɬ(ʊ)</t>
  </si>
  <si>
    <t>xaʦ(a)</t>
  </si>
  <si>
    <t>goat</t>
  </si>
  <si>
    <t>"Bat caught Zoloo."</t>
  </si>
  <si>
    <t>Goat</t>
  </si>
  <si>
    <t>jama:</t>
  </si>
  <si>
    <t>"Bat caught (the) goat."</t>
  </si>
  <si>
    <t>ACC optional?</t>
  </si>
  <si>
    <t>"Zoloo caught Bat."</t>
  </si>
  <si>
    <t>Take outside</t>
  </si>
  <si>
    <t>kark(a)</t>
  </si>
  <si>
    <t>to kill a livestock (sacred animal): goat, sheep, horse, camel, cow</t>
  </si>
  <si>
    <t>take outside</t>
  </si>
  <si>
    <t>"Bat killed the goat."</t>
  </si>
  <si>
    <t>Slander</t>
  </si>
  <si>
    <t>mo:ɬ(a)</t>
  </si>
  <si>
    <t>X</t>
  </si>
  <si>
    <t>Y</t>
  </si>
  <si>
    <t>kill</t>
  </si>
  <si>
    <t>aɬ(a)</t>
  </si>
  <si>
    <t>"X killed Y."</t>
  </si>
  <si>
    <t>ux(ɪ)</t>
  </si>
  <si>
    <t>paɬo:r</t>
  </si>
  <si>
    <t>par(i)</t>
  </si>
  <si>
    <t>die</t>
  </si>
  <si>
    <t>horse</t>
  </si>
  <si>
    <t>Gallop</t>
  </si>
  <si>
    <t>tæβx(ɪ)</t>
  </si>
  <si>
    <t>run</t>
  </si>
  <si>
    <t>gallop</t>
  </si>
  <si>
    <t>kɥ(i)</t>
  </si>
  <si>
    <t>"The goat died."</t>
  </si>
  <si>
    <t>"The horse ran."</t>
  </si>
  <si>
    <t>"The goat ran."</t>
  </si>
  <si>
    <t>fall</t>
  </si>
  <si>
    <t>ɔn(a)</t>
  </si>
  <si>
    <t>"The goat (just recently) fell."</t>
  </si>
  <si>
    <t>Fall</t>
  </si>
  <si>
    <t>"The goat fell (a while ago)."</t>
  </si>
  <si>
    <t>eat</t>
  </si>
  <si>
    <t>"The goat ate."</t>
  </si>
  <si>
    <t>"I ate the goat."</t>
  </si>
  <si>
    <t>Can also mean "I ate the goat" if answer to question</t>
  </si>
  <si>
    <t>hit</t>
  </si>
  <si>
    <t>Hit</t>
  </si>
  <si>
    <t>"Bat hit Zoloo."</t>
  </si>
  <si>
    <t>"Bat hit him/her"</t>
  </si>
  <si>
    <t>see</t>
  </si>
  <si>
    <t>xar(a)</t>
  </si>
  <si>
    <t>"Bat saw Zoloo."</t>
  </si>
  <si>
    <t>self</t>
  </si>
  <si>
    <t>o:ri:ko:</t>
  </si>
  <si>
    <t>"Bat saw himself."</t>
  </si>
  <si>
    <t>No ACC</t>
  </si>
  <si>
    <t>other</t>
  </si>
  <si>
    <t>ne:</t>
  </si>
  <si>
    <t>body</t>
  </si>
  <si>
    <t>"Bat and Zoloo saw each other."</t>
  </si>
  <si>
    <t>3pl</t>
  </si>
  <si>
    <t>https://en.wiktionary.org/wiki/%D1%82%D1%8D%D0%B4_%D0%BD%D0%B0%D1%80#Mongolian</t>
  </si>
  <si>
    <t>[nar] seems productive but keeping these together due to multitude of PL morphemes that already exist in this sheet</t>
  </si>
  <si>
    <t>"They saw each other."</t>
  </si>
  <si>
    <t>"I saw them."</t>
  </si>
  <si>
    <t>tʰɪt (nar)</t>
  </si>
  <si>
    <t>"They saw me."</t>
  </si>
  <si>
    <t>DAT</t>
  </si>
  <si>
    <t>itk(ɪ)</t>
  </si>
  <si>
    <t>Believe</t>
  </si>
  <si>
    <t>news</t>
  </si>
  <si>
    <t>believe</t>
  </si>
  <si>
    <t>News</t>
  </si>
  <si>
    <t>mɪte:</t>
  </si>
  <si>
    <t xml:space="preserve"> -(n)t</t>
  </si>
  <si>
    <t>"Bat believed the news."</t>
  </si>
  <si>
    <t>"Bat believed Zoloo."</t>
  </si>
  <si>
    <t>Rice</t>
  </si>
  <si>
    <t>pota:</t>
  </si>
  <si>
    <t>rice</t>
  </si>
  <si>
    <t>"Bat ate rice."</t>
  </si>
  <si>
    <t>Same morpheme as 265. Different usage.</t>
  </si>
  <si>
    <t>3/7 Session</t>
  </si>
  <si>
    <t>take</t>
  </si>
  <si>
    <t>sæŋ</t>
  </si>
  <si>
    <t>Well</t>
  </si>
  <si>
    <t>Go</t>
  </si>
  <si>
    <t>https://en.wiktionary.org/wiki/%D1%83%D1%83</t>
  </si>
  <si>
    <t>final interrogative particle that creates yes-no questions. Find "Mongolian" in Wiktionary link</t>
  </si>
  <si>
    <t>45a.</t>
  </si>
  <si>
    <t>(Question)</t>
  </si>
  <si>
    <t>well</t>
  </si>
  <si>
    <t>go</t>
  </si>
  <si>
    <t>jaβ(a)</t>
  </si>
  <si>
    <t>"Are your travels going well"</t>
  </si>
  <si>
    <t>45b.</t>
  </si>
  <si>
    <t>(Answer)</t>
  </si>
  <si>
    <t>"My travels are going well"</t>
  </si>
  <si>
    <t>46a.</t>
  </si>
  <si>
    <t>46b.</t>
  </si>
  <si>
    <t>year</t>
  </si>
  <si>
    <t>tʰarkaŋ</t>
  </si>
  <si>
    <t>Fat</t>
  </si>
  <si>
    <t>ɑn</t>
  </si>
  <si>
    <t>Year</t>
  </si>
  <si>
    <t>fat</t>
  </si>
  <si>
    <t>Good</t>
  </si>
  <si>
    <t>mɪnd</t>
  </si>
  <si>
    <t>good</t>
  </si>
  <si>
    <t>https://en.wiktionary.org/wiki/%D1%82%D0%B0%D0%B2%D1%82%D0%B0%D0%B9_%D0%BC%D0%BE%D1%80%D0%B8%D0%BB%D0%BE%D0%B3%D1%82%D1%83%D0%BD</t>
  </si>
  <si>
    <t>Enter</t>
  </si>
  <si>
    <t>ɑr(ɑ)</t>
  </si>
  <si>
    <t>enter</t>
  </si>
  <si>
    <t>or</t>
  </si>
  <si>
    <t>"I am doing well"</t>
  </si>
  <si>
    <t>IMP PERF realized as -e: due to vowel harmony</t>
  </si>
  <si>
    <t>"The man grabbed/bought the book"</t>
  </si>
  <si>
    <t>ACC is optional</t>
  </si>
  <si>
    <t>46c.</t>
  </si>
  <si>
    <t>follow up)</t>
  </si>
  <si>
    <t>(Answer</t>
  </si>
  <si>
    <t>"Did you enter the new year well?"</t>
  </si>
  <si>
    <t xml:space="preserve"> -ɬa:</t>
  </si>
  <si>
    <t>https://en.wiktionary.org/wiki/-%D0%BB%D0%B0%D0%B0#Mongolian</t>
  </si>
  <si>
    <t>"Bat ate."</t>
  </si>
  <si>
    <t>ɵʧʰɪktɵr</t>
  </si>
  <si>
    <t>"Bat ate rice yesterday."</t>
  </si>
  <si>
    <t>ACC can be used.  Unsure what difference is yet</t>
  </si>
  <si>
    <t>Yesterday</t>
  </si>
  <si>
    <t>yesterday</t>
  </si>
  <si>
    <t>it(ɪ)</t>
  </si>
  <si>
    <t>last</t>
  </si>
  <si>
    <t>seven</t>
  </si>
  <si>
    <t>ɵŋkɵrsɵŋ</t>
  </si>
  <si>
    <t>Last</t>
  </si>
  <si>
    <t>Days</t>
  </si>
  <si>
    <t>Seems primarily used together with seven to form tɑɬɑ: хоногт meaning "week (lit. "seven days")</t>
  </si>
  <si>
    <t>days</t>
  </si>
  <si>
    <t>xanʊkt</t>
  </si>
  <si>
    <t>NR PST B</t>
  </si>
  <si>
    <t>NR PST F</t>
  </si>
  <si>
    <t>"Non-recent past".  Becomes [x] occasionally. For front vowel harmony.</t>
  </si>
  <si>
    <t>"Non-recent past".  Becomes [x] occasionally. For back vowel harmony.</t>
  </si>
  <si>
    <t>R PST</t>
  </si>
  <si>
    <t>"Recent past" according consultant. Describing past events with no clear aspectual meaning</t>
  </si>
  <si>
    <t>"Bat ate rice last week."</t>
  </si>
  <si>
    <t>UW PST F</t>
  </si>
  <si>
    <t>UW PST B</t>
  </si>
  <si>
    <t>"Unwitnessed past." The suffix also carries secondary evidential force, implying that the speaker didn't directly witness the action.  For front vowels.</t>
  </si>
  <si>
    <t>"Unwitnessed past." The suffix also carries secondary evidential force, implying that the speaker didn't directly witness the action.  For back vowels.</t>
  </si>
  <si>
    <t>"Bat and Zoloo ate the rice."</t>
  </si>
  <si>
    <t>https://en.wiktionary.org/wiki/%D0%B8%D1%80%D1%8D%D1%85#Mongolian</t>
  </si>
  <si>
    <t>Here</t>
  </si>
  <si>
    <t>na:(ʃ)</t>
  </si>
  <si>
    <t>ʦʰa:(ʃ)</t>
  </si>
  <si>
    <t>Away</t>
  </si>
  <si>
    <t>ʦʰa:ʃ means "away" according to Google Translate.  ʃ seems to drop when LOC/DAT -t attaches</t>
  </si>
  <si>
    <t>na:ʃ means "here" according to Google Translate which seems to be related to word /na:ʃɬax/ "to come (closer)" (see link). ʃ seems to drop when LOC/DAT -t attaches</t>
  </si>
  <si>
    <t>here</t>
  </si>
  <si>
    <t>Hot</t>
  </si>
  <si>
    <t>hot</t>
  </si>
  <si>
    <t>https://en.wiktionary.org/wiki/%D1%87#Mongolian</t>
  </si>
  <si>
    <t>still really unsure about this</t>
  </si>
  <si>
    <t>"Somebody ate this rice."</t>
  </si>
  <si>
    <t>"This man ate rice."</t>
  </si>
  <si>
    <t>"This man ate this rice."</t>
  </si>
  <si>
    <t>ɵk(ɵ)</t>
  </si>
  <si>
    <t>give</t>
  </si>
  <si>
    <t>"Bat gave the book to Zoloo."</t>
  </si>
  <si>
    <t>Vowel harmony changes vowel</t>
  </si>
  <si>
    <t>"Bat took/got the book from Zoloo."</t>
  </si>
  <si>
    <t>"Bat fell."</t>
  </si>
  <si>
    <t>"Bat rode the horse."</t>
  </si>
  <si>
    <t>talk</t>
  </si>
  <si>
    <t>"Bat spoke/talked"</t>
  </si>
  <si>
    <t>titske</t>
  </si>
  <si>
    <t>ʦʰɪʦke:</t>
  </si>
  <si>
    <t>Female name</t>
  </si>
  <si>
    <t>https://en.wiktionary.org/wiki/-%D1%82%D0%B0%D0%B9#Mongolian</t>
  </si>
  <si>
    <t>xaɬo:</t>
  </si>
  <si>
    <t>ta:r(a)</t>
  </si>
  <si>
    <t>Feel.cold</t>
  </si>
  <si>
    <t>xaɬo:ʦʰ(ə)</t>
  </si>
  <si>
    <t>feel.hot</t>
  </si>
  <si>
    <t>Feel.hot</t>
  </si>
  <si>
    <t>young</t>
  </si>
  <si>
    <t>"Bat is (a) young (person).</t>
  </si>
  <si>
    <t>pɑɬ</t>
  </si>
  <si>
    <t>ʧʰɪn</t>
  </si>
  <si>
    <t>is?</t>
  </si>
  <si>
    <t xml:space="preserve">Consultant says it is like a warning "Careful this rice is hot." </t>
  </si>
  <si>
    <t>52a</t>
  </si>
  <si>
    <t>52b</t>
  </si>
  <si>
    <t>Alternative way of saying 52a</t>
  </si>
  <si>
    <t>Okay</t>
  </si>
  <si>
    <t>ʦuke:r</t>
  </si>
  <si>
    <t>Also used in "you're welcome"</t>
  </si>
  <si>
    <t>okay</t>
  </si>
  <si>
    <t>Reply to "thank you" and "are you okay"</t>
  </si>
  <si>
    <t>3/9 Session</t>
  </si>
  <si>
    <t>2sg (pol.)</t>
  </si>
  <si>
    <t>2sg (fam.)</t>
  </si>
  <si>
    <t>fam = familiar</t>
  </si>
  <si>
    <t>ʧʰi</t>
  </si>
  <si>
    <t>"Bat and Titske are both talking (but not to each other)"</t>
  </si>
  <si>
    <t>67a</t>
  </si>
  <si>
    <t>Together</t>
  </si>
  <si>
    <t>xamtʰ</t>
  </si>
  <si>
    <t>together</t>
  </si>
  <si>
    <t>67b</t>
  </si>
  <si>
    <t>"Bat and Tistke are walking together (side-by-side)"</t>
  </si>
  <si>
    <t>happiness</t>
  </si>
  <si>
    <t>COM e</t>
  </si>
  <si>
    <t>COM o</t>
  </si>
  <si>
    <t>COM a</t>
  </si>
  <si>
    <t>Comfort</t>
  </si>
  <si>
    <t>tʰaɸ</t>
  </si>
  <si>
    <t>comfort</t>
  </si>
  <si>
    <t>For /e/</t>
  </si>
  <si>
    <t>For /ɑ/ and /ɔ/</t>
  </si>
  <si>
    <t>COM A</t>
  </si>
  <si>
    <t>Happiness</t>
  </si>
  <si>
    <t>ʧarkaɬ</t>
  </si>
  <si>
    <t>"Bat is feeling happy (right now)."</t>
  </si>
  <si>
    <t>For /a/ and /æ/</t>
  </si>
  <si>
    <t>Beauty</t>
  </si>
  <si>
    <t>uʦɪsksɫɪŋ</t>
  </si>
  <si>
    <t>Literally means "exhibit"</t>
  </si>
  <si>
    <t>Beautiful</t>
  </si>
  <si>
    <t>qɑ:</t>
  </si>
  <si>
    <t>beauty</t>
  </si>
  <si>
    <t>beautiful</t>
  </si>
  <si>
    <t>Old way of saying beautiful</t>
  </si>
  <si>
    <t>"Beauty"</t>
  </si>
  <si>
    <t>"Titske is a beautiful woman."</t>
  </si>
  <si>
    <t>Person</t>
  </si>
  <si>
    <t>R PST is more likely to be answer to the question "person ate the rice?"</t>
  </si>
  <si>
    <t>person</t>
  </si>
  <si>
    <t>"Bat is a happy person."</t>
  </si>
  <si>
    <t>"I ran."</t>
  </si>
  <si>
    <t>1pl</t>
  </si>
  <si>
    <t>pit (nar)</t>
  </si>
  <si>
    <t>"We ran."</t>
  </si>
  <si>
    <t>"Direct Past." Calling it this for now for lack of a better term.  Seems to be much more comlicated than just one type of past tense.</t>
  </si>
  <si>
    <t>"I ran here."</t>
  </si>
  <si>
    <t>In response to "how did you get here so quickly")</t>
  </si>
  <si>
    <t>2pl</t>
  </si>
  <si>
    <t>tʰa (nar)</t>
  </si>
  <si>
    <t>"They ran."</t>
  </si>
  <si>
    <t>"You (pl.) ran."</t>
  </si>
  <si>
    <t>Unsure if this is natural.</t>
  </si>
  <si>
    <t>door</t>
  </si>
  <si>
    <t>ɑŋkɶɬk(ɑ)</t>
  </si>
  <si>
    <t>"Bat opened the door."</t>
  </si>
  <si>
    <t>ɑŋkɶrxɶ</t>
  </si>
  <si>
    <t>open (a)</t>
  </si>
  <si>
    <t>Open (a)</t>
  </si>
  <si>
    <t xml:space="preserve">adjective. </t>
  </si>
  <si>
    <t>"The open door."</t>
  </si>
  <si>
    <t>Period</t>
  </si>
  <si>
    <t>ɥɪ</t>
  </si>
  <si>
    <t>combines with dative -t to form "when"</t>
  </si>
  <si>
    <t>"Bat ran (away) as the door was opening.</t>
  </si>
  <si>
    <t>https://en.wiktionary.org/wiki/%D0%B1%D2%AF%D1%80</t>
  </si>
  <si>
    <t>Each</t>
  </si>
  <si>
    <t>bur</t>
  </si>
  <si>
    <t>day</t>
  </si>
  <si>
    <t>each</t>
  </si>
  <si>
    <t>"I eat rice everyday."</t>
  </si>
  <si>
    <t>"Bat and Titske talk regularly."</t>
  </si>
  <si>
    <t>behind</t>
  </si>
  <si>
    <t>3/14 Session</t>
  </si>
  <si>
    <t>"The door opened (by itself)."</t>
  </si>
  <si>
    <t>ɑŋk(ɶ)</t>
  </si>
  <si>
    <t>deriving from мөрөөдөх "to long" ?</t>
  </si>
  <si>
    <t>"I want to open the door."</t>
  </si>
  <si>
    <t>head</t>
  </si>
  <si>
    <t>ɔrxi:n</t>
  </si>
  <si>
    <t>Household</t>
  </si>
  <si>
    <t>household</t>
  </si>
  <si>
    <t>tʰɪr</t>
  </si>
  <si>
    <t>also means "that"</t>
  </si>
  <si>
    <t>https://en.wiktionary.org/wiki/%D1%82%D1%8D%D1%80</t>
  </si>
  <si>
    <t>"He is the head of the household."</t>
  </si>
  <si>
    <t>China</t>
  </si>
  <si>
    <t>Live</t>
  </si>
  <si>
    <t>æmdar(ə)</t>
  </si>
  <si>
    <t>xjɛtʰat</t>
  </si>
  <si>
    <t>"She is in China (temporarily)."</t>
  </si>
  <si>
    <t>glass</t>
  </si>
  <si>
    <t>container</t>
  </si>
  <si>
    <t>89a</t>
  </si>
  <si>
    <t>89b</t>
  </si>
  <si>
    <t>Glass</t>
  </si>
  <si>
    <t>Container</t>
  </si>
  <si>
    <t>saβ</t>
  </si>
  <si>
    <t>Open (t)</t>
  </si>
  <si>
    <t>Open (i)</t>
  </si>
  <si>
    <t>transitive</t>
  </si>
  <si>
    <t>intransitive</t>
  </si>
  <si>
    <t>Shatter (i)</t>
  </si>
  <si>
    <t>open (t)</t>
  </si>
  <si>
    <t>open (i)</t>
  </si>
  <si>
    <t>shatter (i)</t>
  </si>
  <si>
    <t>хаkаr(a)</t>
  </si>
  <si>
    <t>Shatter (t)</t>
  </si>
  <si>
    <t>хаkаɬ(а)</t>
  </si>
  <si>
    <t>"The glass water container just broke."</t>
  </si>
  <si>
    <t>shatter (t)</t>
  </si>
  <si>
    <t>"The glass water container just broke (and I saw it but I didn't do it)."</t>
  </si>
  <si>
    <t>https://en.wiktionary.org/wiki/%D1%88%D0%B8%D0%BB</t>
  </si>
  <si>
    <t>ʃiɬ</t>
  </si>
  <si>
    <t>90a</t>
  </si>
  <si>
    <t>90b</t>
  </si>
  <si>
    <t>"I just broke glass water container."</t>
  </si>
  <si>
    <t>Pronounced in 89c and 90b with /x/.  Unsure if it part of this morpheme or preceding UW PST morpheme.</t>
  </si>
  <si>
    <t>"Bat broke the glass water container (a while ago)."</t>
  </si>
  <si>
    <t>"I broke the  glass water container (a while ago)."</t>
  </si>
  <si>
    <t>Pencil</t>
  </si>
  <si>
    <t>xaranda:</t>
  </si>
  <si>
    <t>xokar(a)</t>
  </si>
  <si>
    <t>Break for wooden objects</t>
  </si>
  <si>
    <t>pencil</t>
  </si>
  <si>
    <t>"The pencil broke."</t>
  </si>
  <si>
    <t>Snap (i)</t>
  </si>
  <si>
    <t>Snap (t)</t>
  </si>
  <si>
    <t>xokaɬ(a)</t>
  </si>
  <si>
    <t>snap (i)</t>
  </si>
  <si>
    <t>snap (t)</t>
  </si>
  <si>
    <t>"Bat broke the pencil."</t>
  </si>
  <si>
    <t>moʧʰir</t>
  </si>
  <si>
    <t>Branch</t>
  </si>
  <si>
    <t>tree</t>
  </si>
  <si>
    <t>branch</t>
  </si>
  <si>
    <t>"The tree branch broke."</t>
  </si>
  <si>
    <t>"Bat broke the tree branch."</t>
  </si>
  <si>
    <t>https://en.wiktionary.org/wiki/-%D0%B0%D0%B0#Mongolian</t>
  </si>
  <si>
    <t>RFLX a</t>
  </si>
  <si>
    <t>RFLX e</t>
  </si>
  <si>
    <t>D PST a</t>
  </si>
  <si>
    <t>D PST e</t>
  </si>
  <si>
    <t>Skirt 1</t>
  </si>
  <si>
    <t>Skirt 2</t>
  </si>
  <si>
    <t>can also be derogatory phrase for "woman"</t>
  </si>
  <si>
    <t>jupkʰ(a)</t>
  </si>
  <si>
    <t>banʦaɫ</t>
  </si>
  <si>
    <t>https://en.wiktionary.org/wiki/%D0%B1%D0%B0%D0%BD%D0%B7%D0%B0%D0%BB</t>
  </si>
  <si>
    <t>skirt 1</t>
  </si>
  <si>
    <t>skirt 2</t>
  </si>
  <si>
    <t>or(a)</t>
  </si>
  <si>
    <t>"Titske just tore her skirt."</t>
  </si>
  <si>
    <t>97a</t>
  </si>
  <si>
    <t>"The skirt tore."</t>
  </si>
  <si>
    <t>97b</t>
  </si>
  <si>
    <t>tear (i)</t>
  </si>
  <si>
    <t>tear (t)</t>
  </si>
  <si>
    <t>Tear (t)</t>
  </si>
  <si>
    <t>Tear (i)</t>
  </si>
  <si>
    <t>orakt(a)</t>
  </si>
  <si>
    <t>tall</t>
  </si>
  <si>
    <t>meet</t>
  </si>
  <si>
    <t>come</t>
  </si>
  <si>
    <t>Meet</t>
  </si>
  <si>
    <t>o:ɬʦ(a)</t>
  </si>
  <si>
    <t>"Tall man came to see you (but you were not here.)</t>
  </si>
  <si>
    <t>walk</t>
  </si>
  <si>
    <t>"The man is walking behind the woman."</t>
  </si>
  <si>
    <t>"The water is behind the tea."</t>
  </si>
  <si>
    <t>"The tea is behind the water."</t>
  </si>
  <si>
    <t>"The tea is front of the water."</t>
  </si>
  <si>
    <t>aɬx(ə)</t>
  </si>
  <si>
    <t>3/16 Session</t>
  </si>
  <si>
    <t>Camel</t>
  </si>
  <si>
    <t>tʰeme:</t>
  </si>
  <si>
    <t>camel</t>
  </si>
  <si>
    <t>pɔɬ(ɔ)</t>
  </si>
  <si>
    <t>https://en.wiktionary.org/wiki/%D0%B1%D0%BE%D0%BB%D0%BE%D1%85</t>
  </si>
  <si>
    <t>FOC</t>
  </si>
  <si>
    <t xml:space="preserve">Focus / topic market often translated as "is." Derived from 364. </t>
  </si>
  <si>
    <t>1sg.DAT</t>
  </si>
  <si>
    <t>1sg.ACC</t>
  </si>
  <si>
    <t>natat</t>
  </si>
  <si>
    <t>Based on the fact that /natat/ is glossed as dative of 1sg and the fact that -k is an accusative marker.</t>
  </si>
  <si>
    <t>3sg.ACC</t>
  </si>
  <si>
    <t>https://en.wiktionary.org/wiki/%D0%BD%D0%B0%D0%B4%D0%B0%D0%B4</t>
  </si>
  <si>
    <t>https://en.wiktionary.org/wiki/%D1%82%D1%8D%D0%BC%D1%8D%D1%8D</t>
  </si>
  <si>
    <t>https://en.wiktionary.org/wiki/-%D0%B0%D0%B0%D0%BD#Mongolian</t>
  </si>
  <si>
    <t>Gloss</t>
  </si>
  <si>
    <t>Transcription</t>
  </si>
  <si>
    <t>Notes</t>
  </si>
  <si>
    <t>Wiktionary Link</t>
  </si>
  <si>
    <t>ʧʰam</t>
  </si>
  <si>
    <t>"I own a camel."</t>
  </si>
  <si>
    <t>1sg</t>
  </si>
  <si>
    <t>Category</t>
  </si>
  <si>
    <t>Pronoun</t>
  </si>
  <si>
    <t>T/A</t>
  </si>
  <si>
    <t>Case</t>
  </si>
  <si>
    <t>Proper</t>
  </si>
  <si>
    <t>Dem.</t>
  </si>
  <si>
    <t>https://en.wiktionary.org/wiki/%D1%82%D0%B0%D0%BB#Mongolian</t>
  </si>
  <si>
    <t>Productive</t>
  </si>
  <si>
    <t>Number</t>
  </si>
  <si>
    <t>Future participle, marking actions that will or should be done</t>
  </si>
  <si>
    <t>The imperfective converb, expresses simultaneity of action and a progressive aspect.</t>
  </si>
  <si>
    <t xml:space="preserve"> -tɨk</t>
  </si>
  <si>
    <t>pærɬ(a)</t>
  </si>
  <si>
    <t>Be at</t>
  </si>
  <si>
    <t>be at</t>
  </si>
  <si>
    <t>ʦʰəx(ɨ)</t>
  </si>
  <si>
    <t>Possibly pronoun?</t>
  </si>
  <si>
    <t>Maybe case marker</t>
  </si>
  <si>
    <t xml:space="preserve"> -tʰe:</t>
  </si>
  <si>
    <t xml:space="preserve"> -tʰɶ:</t>
  </si>
  <si>
    <t xml:space="preserve"> -tʰæ:</t>
  </si>
  <si>
    <t xml:space="preserve"> -mɔr</t>
  </si>
  <si>
    <t>Reflexive</t>
  </si>
  <si>
    <t>Mood</t>
  </si>
  <si>
    <t>Link</t>
  </si>
  <si>
    <t>https://en.wiktionary.org/wiki/%D0%BD%D1%8C</t>
  </si>
  <si>
    <t>https://en.wiktionary.org/wiki/%D0%BC%D0%B8%D0%BD%D0%B8%D0%B9</t>
  </si>
  <si>
    <t>https://en.wiktionary.org/wiki/%D1%82%D2%AF%D2%AF%D0%BD%D0%B8%D0%B9#Mongolian</t>
  </si>
  <si>
    <t>tu:ni:</t>
  </si>
  <si>
    <t>3sg</t>
  </si>
  <si>
    <t>https://en.wiktionary.org/wiki/%D0%B1%D0%B8#Mongolian</t>
  </si>
  <si>
    <t>https://en.wiktionary.org/wiki/%D1%87%D0%B8#Mongolian</t>
  </si>
  <si>
    <t>https://en.wiktionary.org/wiki/%D1%82%D0%B0#Mongolian</t>
  </si>
  <si>
    <t>pol = polite</t>
  </si>
  <si>
    <t>namæ</t>
  </si>
  <si>
    <t>tʰa</t>
  </si>
  <si>
    <t>https://en.wiktionary.org/wiki/from#Translations</t>
  </si>
  <si>
    <t>https://en.wiktionary.org/wiki/-%D0%B6%D1%8D%D1%8D#Mongolian</t>
  </si>
  <si>
    <t>Verb</t>
  </si>
  <si>
    <t>Direction</t>
  </si>
  <si>
    <t>Non-verb</t>
  </si>
  <si>
    <t>qɔ(ɪ)</t>
  </si>
  <si>
    <t>uɬ(e)</t>
  </si>
  <si>
    <t>Sub-category</t>
  </si>
  <si>
    <t>ʃat(a)</t>
  </si>
  <si>
    <t>ʃata(:)</t>
  </si>
  <si>
    <t>xa(:)</t>
  </si>
  <si>
    <t>iɾ(ɪ)</t>
  </si>
  <si>
    <t>tʰɑ:ɬ(ə)</t>
  </si>
  <si>
    <t>ø:ɬa(:)</t>
  </si>
  <si>
    <t>xɪrʧʰ(i)</t>
  </si>
  <si>
    <t>ɔx(a)</t>
  </si>
  <si>
    <t>xi(:)</t>
  </si>
  <si>
    <t>o(:)</t>
  </si>
  <si>
    <t>xatʰ(a)</t>
  </si>
  <si>
    <t>xatʰa(:)</t>
  </si>
  <si>
    <t>Dry (i)</t>
  </si>
  <si>
    <t>Dry (t)</t>
  </si>
  <si>
    <t>ɪɬs(ɪ)</t>
  </si>
  <si>
    <t>æ(:)</t>
  </si>
  <si>
    <t>ʦɑtəɬt(ɑ)</t>
  </si>
  <si>
    <t>Fist fight</t>
  </si>
  <si>
    <t>Burn (i)</t>
  </si>
  <si>
    <t>Burn (t)</t>
  </si>
  <si>
    <t>Close</t>
  </si>
  <si>
    <t>Fear</t>
  </si>
  <si>
    <t>Fire</t>
  </si>
  <si>
    <t>Fish</t>
  </si>
  <si>
    <t>Gaze</t>
  </si>
  <si>
    <t>xʊβ(ʊ)</t>
  </si>
  <si>
    <t>nis(ɪ)</t>
  </si>
  <si>
    <t>xʊɬt(ʊ)</t>
  </si>
  <si>
    <t>xaʁʦʰ(a)</t>
  </si>
  <si>
    <t>Family</t>
  </si>
  <si>
    <t>sɔɾ(a)</t>
  </si>
  <si>
    <t>sɑns(ɑ)</t>
  </si>
  <si>
    <t>Long</t>
  </si>
  <si>
    <t>xæ(:)</t>
  </si>
  <si>
    <t>aɬt(a)</t>
  </si>
  <si>
    <t>xæɬ(ə)</t>
  </si>
  <si>
    <t>xɶɬ(ɪ)</t>
  </si>
  <si>
    <t>xɑɬt(ɑ)</t>
  </si>
  <si>
    <t>Nail</t>
  </si>
  <si>
    <t>xat(a)</t>
  </si>
  <si>
    <t>Name</t>
  </si>
  <si>
    <t>tʰa̤tʰ(a)</t>
  </si>
  <si>
    <t>tuɬx(ɪ)</t>
  </si>
  <si>
    <t>pɑɾɑ: ɑɾ(ɑ)</t>
  </si>
  <si>
    <t>xɪɬ(ɪ)</t>
  </si>
  <si>
    <t>ɪɾ(ɪ)</t>
  </si>
  <si>
    <t>to:ɬ(a)</t>
  </si>
  <si>
    <t>ʧɪβ(ɪ)</t>
  </si>
  <si>
    <t>ɔntʰ(a)</t>
  </si>
  <si>
    <t>ʦʰas ɑɾ(ɑ)</t>
  </si>
  <si>
    <t>ʊɬs(u)</t>
  </si>
  <si>
    <t>aβ̞(ə)</t>
  </si>
  <si>
    <t>jɛɾ(ɪ)</t>
  </si>
  <si>
    <t>ʦa(:)</t>
  </si>
  <si>
    <t>Phrase</t>
  </si>
  <si>
    <t>Place</t>
  </si>
  <si>
    <t>tʰoɬəɬt(a)</t>
  </si>
  <si>
    <t>Aux. Verb.</t>
  </si>
  <si>
    <t>Deictic</t>
  </si>
  <si>
    <t>Affix</t>
  </si>
  <si>
    <t>Closed</t>
  </si>
  <si>
    <t xml:space="preserve"> -o:t</t>
  </si>
  <si>
    <t>Variable</t>
  </si>
  <si>
    <t>Particle</t>
  </si>
  <si>
    <t>Question</t>
  </si>
  <si>
    <t>Open</t>
  </si>
  <si>
    <t>meat</t>
  </si>
  <si>
    <t>"I want to eat camel."</t>
  </si>
  <si>
    <t>Want to e</t>
  </si>
  <si>
    <t>Want to o</t>
  </si>
  <si>
    <t xml:space="preserve"> -mer</t>
  </si>
  <si>
    <t>want to o</t>
  </si>
  <si>
    <t>want to e</t>
  </si>
  <si>
    <t>Where</t>
  </si>
  <si>
    <t>borrowed from Russian</t>
  </si>
  <si>
    <t>ABL</t>
  </si>
  <si>
    <t>where</t>
  </si>
  <si>
    <t>NR PST f</t>
  </si>
  <si>
    <t>https://en.wiktionary.org/wiki/%D0%B2%D1%8D</t>
  </si>
  <si>
    <t>https://en.wiktionary.org/wiki/%D1%85%D0%B0%D0%B0%D0%BD%D0%B0</t>
  </si>
  <si>
    <t>https://en.wiktionary.org/wiki/%D0%B1%D1%8D#Mongolian</t>
  </si>
  <si>
    <t>pe</t>
  </si>
  <si>
    <t>βe</t>
  </si>
  <si>
    <t>Q YN</t>
  </si>
  <si>
    <t>interrogative particle placed at the end of an interrogative sentence that contains interrogative words</t>
  </si>
  <si>
    <t>Q WH</t>
  </si>
  <si>
    <t>2sg t</t>
  </si>
  <si>
    <t>Seems to be a version of /ʧʰi/ that occurs when /t/ or /tʰ/ follows</t>
  </si>
  <si>
    <t>older sister</t>
  </si>
  <si>
    <t>The imperfective participle suffix</t>
  </si>
  <si>
    <t>What</t>
  </si>
  <si>
    <t>jo:</t>
  </si>
  <si>
    <t>https://en.wiktionary.org/wiki/%D1%8E%D1%83#Mongolian</t>
  </si>
  <si>
    <t>what</t>
  </si>
  <si>
    <t>Can be used for "what country are you from?" or "where did you just come from?"</t>
  </si>
  <si>
    <t xml:space="preserve">"Where did you come from?" </t>
  </si>
  <si>
    <t>"Do you have an older sister?"</t>
  </si>
  <si>
    <t>Q WH 2</t>
  </si>
  <si>
    <t>"What is this?"</t>
  </si>
  <si>
    <t>Also used for "happen"</t>
  </si>
  <si>
    <t>become</t>
  </si>
  <si>
    <t>"I want a camel (lit. I want to become with a camel)"</t>
  </si>
  <si>
    <t>"What happened?"</t>
  </si>
  <si>
    <t>https://en.wiktionary.org/wiki/%D1%8E%D0%BC#Noun</t>
  </si>
  <si>
    <t>https://en.wiktionary.org/wiki/%D1%8E%D0%BC#Particle</t>
  </si>
  <si>
    <t>Thing</t>
  </si>
  <si>
    <t>COMF</t>
  </si>
  <si>
    <t>confirmative modal particle, it follows the word that it modifies, connotes willingness or desire</t>
  </si>
  <si>
    <t>NR PST b</t>
  </si>
  <si>
    <t>Confirmative</t>
  </si>
  <si>
    <t>Seems to have double usage as both "what" and phonological variant of Yes-no question interrogative particle. Sometimes sounds like [ju:]</t>
  </si>
  <si>
    <t>jamar</t>
  </si>
  <si>
    <t>Which</t>
  </si>
  <si>
    <t>(interrogative) what kind, what, which, how</t>
  </si>
  <si>
    <t>https://en.wiktionary.org/wiki/%D1%8F%D0%BC%D0%B0%D1%80#Pronoun</t>
  </si>
  <si>
    <t>"I came from Mongolia."</t>
  </si>
  <si>
    <t>"I have a sister"</t>
  </si>
  <si>
    <t>who</t>
  </si>
  <si>
    <t>xɨŋ</t>
  </si>
  <si>
    <t>Who</t>
  </si>
  <si>
    <t>https://en.wiktionary.org/wiki/%D1%85%D1%8D%D0%BD#Mongolian</t>
  </si>
  <si>
    <t>class</t>
  </si>
  <si>
    <t>Class</t>
  </si>
  <si>
    <t>xiʧʰe:ɬ</t>
  </si>
  <si>
    <t>start</t>
  </si>
  <si>
    <t>When</t>
  </si>
  <si>
    <t>https://en.wiktionary.org/wiki/when#Translations</t>
  </si>
  <si>
    <t>xiʦe:</t>
  </si>
  <si>
    <t>when</t>
  </si>
  <si>
    <t>Start</t>
  </si>
  <si>
    <t>ɪxɬ(ɪ)</t>
  </si>
  <si>
    <t>"When does your class start?"</t>
  </si>
  <si>
    <t>Without "start" sentence means "when is your class?"</t>
  </si>
  <si>
    <t>father</t>
  </si>
  <si>
    <t>1sg.GEN</t>
  </si>
  <si>
    <t>"My dad"</t>
  </si>
  <si>
    <t>Reveals that GEN can come before or after possessed thing</t>
  </si>
  <si>
    <t>110a</t>
  </si>
  <si>
    <t>110b</t>
  </si>
  <si>
    <t>112a</t>
  </si>
  <si>
    <t>thing</t>
  </si>
  <si>
    <t>jom</t>
  </si>
  <si>
    <t>"Whose is this?"</t>
  </si>
  <si>
    <t>112b</t>
  </si>
  <si>
    <t>"Who did you come with?"</t>
  </si>
  <si>
    <t>child</t>
  </si>
  <si>
    <t>"Who do you belong with?"</t>
  </si>
  <si>
    <t>"Whose child are you?"</t>
  </si>
  <si>
    <t>rock</t>
  </si>
  <si>
    <t>Rock</t>
  </si>
  <si>
    <t>window</t>
  </si>
  <si>
    <t>"The rock broke the window."</t>
  </si>
  <si>
    <t>wind</t>
  </si>
  <si>
    <t>"The window broke the window."</t>
  </si>
  <si>
    <t>"I saw the rock."</t>
  </si>
  <si>
    <t>Where to</t>
  </si>
  <si>
    <t>xa:n(a)</t>
  </si>
  <si>
    <t>xa:ʃa:</t>
  </si>
  <si>
    <t>Unsure if it means "where to" but it is differerent than the other "where" and used in an example involving motion.</t>
  </si>
  <si>
    <t>where to</t>
  </si>
  <si>
    <t>"Where are you going?"</t>
  </si>
  <si>
    <t>Home</t>
  </si>
  <si>
    <t>home</t>
  </si>
  <si>
    <t>https://en.wiktionary.org/wiki/%D0%B3%D1%8D%D1%80#Mongolian</t>
  </si>
  <si>
    <t>to</t>
  </si>
  <si>
    <t>forms directive case.  Seems somewhat synonymous with dative/locative case marker -t</t>
  </si>
  <si>
    <t>https://en.wiktionary.org/wiki/%D1%80%D1%83%D1%83#Mongolian</t>
  </si>
  <si>
    <t>to r</t>
  </si>
  <si>
    <t>phonologically conditioned form of /ru:/. Occurs after /r/</t>
  </si>
  <si>
    <t>https://en.wiktionary.org/wiki/%D0%BB%D1%83%D1%83#Etymology_2</t>
  </si>
  <si>
    <t>kɪr</t>
  </si>
  <si>
    <t>"I'm going to Titke's home."</t>
  </si>
  <si>
    <t>School</t>
  </si>
  <si>
    <t>school</t>
  </si>
  <si>
    <t>"I'm going to school."</t>
  </si>
  <si>
    <t>sorqo:ɬ</t>
  </si>
  <si>
    <t>"I go to school every day."</t>
  </si>
  <si>
    <t>Classroom</t>
  </si>
  <si>
    <t>classroom</t>
  </si>
  <si>
    <t>æŋk(ɪ)</t>
  </si>
  <si>
    <t xml:space="preserve"> -(k)a:</t>
  </si>
  <si>
    <t xml:space="preserve"> -(k)e:</t>
  </si>
  <si>
    <t>Reflexive. Complies with vowel harmony.  /k/ occurs when preceded by vowel</t>
  </si>
  <si>
    <t>"I brought my book to my school."</t>
  </si>
  <si>
    <t>"I brought my book to my class."</t>
  </si>
  <si>
    <t xml:space="preserve"> -ro:</t>
  </si>
  <si>
    <t xml:space="preserve"> -ɬo:</t>
  </si>
  <si>
    <t>"I got (my) book."</t>
  </si>
  <si>
    <t>"I got a book" without a:</t>
  </si>
  <si>
    <t>"I went with my book"</t>
  </si>
  <si>
    <t>(Does not require destination)</t>
  </si>
  <si>
    <t>COME</t>
  </si>
  <si>
    <t>"I bring my book to my class everyday."</t>
  </si>
  <si>
    <t>mi</t>
  </si>
  <si>
    <t>minij</t>
  </si>
  <si>
    <t>1pl.GEN</t>
  </si>
  <si>
    <t>manæ</t>
  </si>
  <si>
    <t>kɔj</t>
  </si>
  <si>
    <t>Nice</t>
  </si>
  <si>
    <t>nice</t>
  </si>
  <si>
    <t>"Our class is nice."</t>
  </si>
  <si>
    <t>new</t>
  </si>
  <si>
    <t>New</t>
  </si>
  <si>
    <t>ʃin</t>
  </si>
  <si>
    <t>"I brought my new book to class."</t>
  </si>
  <si>
    <t>"Bat brought my book to class."</t>
  </si>
  <si>
    <t>kevin</t>
  </si>
  <si>
    <t>Kevin</t>
  </si>
  <si>
    <t>"Kevin is in the class."</t>
  </si>
  <si>
    <t>"Kevin went from class to his home."</t>
  </si>
  <si>
    <t>big</t>
  </si>
  <si>
    <t>live</t>
  </si>
  <si>
    <t>"Bat lives in a big house."</t>
  </si>
  <si>
    <t>/ŋ/ becomes /n/</t>
  </si>
  <si>
    <t xml:space="preserve"> -(k)as</t>
  </si>
  <si>
    <t>"Bat lives in (this) big house" (when answering "which house does Bat live in given a choice between two houses, a small one and a big one)</t>
  </si>
  <si>
    <t>"Bat's house is bigger than my house."</t>
  </si>
  <si>
    <t>"we eat rice every day."</t>
  </si>
  <si>
    <t>NEG</t>
  </si>
  <si>
    <t>cattle</t>
  </si>
  <si>
    <t>Cattle</t>
  </si>
  <si>
    <t>uxɨr</t>
  </si>
  <si>
    <t>https://en.wiktionary.org/wiki/%D1%87#Particle</t>
  </si>
  <si>
    <t>Negative</t>
  </si>
  <si>
    <t>ʧʰ</t>
  </si>
  <si>
    <t>after interrogative pronouns, used with a negative verb</t>
  </si>
  <si>
    <t xml:space="preserve"> -kɥi</t>
  </si>
  <si>
    <t>Negates participles</t>
  </si>
  <si>
    <t>https://en.wiktionary.org/wiki/-%D0%B3%D2%AF%D0%B9#Mongolian</t>
  </si>
  <si>
    <t>"We never eat beef."</t>
  </si>
  <si>
    <t>3/23 Session</t>
  </si>
  <si>
    <t>3/21 Session</t>
  </si>
  <si>
    <t>milk</t>
  </si>
  <si>
    <t>drink</t>
  </si>
  <si>
    <t>Milk</t>
  </si>
  <si>
    <t>su:</t>
  </si>
  <si>
    <t>"I don't drink milk"</t>
  </si>
  <si>
    <t>138a</t>
  </si>
  <si>
    <t>138b</t>
  </si>
  <si>
    <t>https://en.wiktionary.org/wiki/%D1%87%D0%B0%D0%B4%D0%B2%D0%B0%D1%80#Mongolian</t>
  </si>
  <si>
    <t>ʧʰat(a)</t>
  </si>
  <si>
    <t>Can</t>
  </si>
  <si>
    <t>can</t>
  </si>
  <si>
    <t>"I do drink milk"</t>
  </si>
  <si>
    <t>139a</t>
  </si>
  <si>
    <t>"I can't drink milk"</t>
  </si>
  <si>
    <t>139b</t>
  </si>
  <si>
    <t>HAB b</t>
  </si>
  <si>
    <t xml:space="preserve"> -tak</t>
  </si>
  <si>
    <t>HAB F</t>
  </si>
  <si>
    <t>HAB f</t>
  </si>
  <si>
    <t>"I can drink milk."</t>
  </si>
  <si>
    <t>140a</t>
  </si>
  <si>
    <t>140b</t>
  </si>
  <si>
    <t>One (number)</t>
  </si>
  <si>
    <t>As in "he likes the blue one but I like the red one." Attaches to pronound like "my."  Can be use in replaced of possed noun if context is already understood.</t>
  </si>
  <si>
    <t>https://en.wiktionary.org/wiki/%D0%BC%D1%8D%D1%82</t>
  </si>
  <si>
    <t>Link is synonym of word</t>
  </si>
  <si>
    <t>as</t>
  </si>
  <si>
    <t>Comparative</t>
  </si>
  <si>
    <t>one</t>
  </si>
  <si>
    <t>ʃɪk</t>
  </si>
  <si>
    <t>https://en.wiktionary.org/wiki/%D0%B1%D0%B8%D1%88#Verb</t>
  </si>
  <si>
    <t>negates the equation of two terms</t>
  </si>
  <si>
    <t>pɪʃ</t>
  </si>
  <si>
    <t>is not</t>
  </si>
  <si>
    <t>"Bat's house is not as big as mine."</t>
  </si>
  <si>
    <t>https://en.wiktionary.org/wiki/%D1%82%D0%B8%D0%B9%D0%BC</t>
  </si>
  <si>
    <t>tʰijm</t>
  </si>
  <si>
    <t>Yes</t>
  </si>
  <si>
    <t>"Bat's house is not as big as my house."</t>
  </si>
  <si>
    <t>Exclamation</t>
  </si>
  <si>
    <t>No</t>
  </si>
  <si>
    <t>ukɥi</t>
  </si>
  <si>
    <t>"This is a pen."</t>
  </si>
  <si>
    <t>"That is Bat"</t>
  </si>
  <si>
    <t>ten</t>
  </si>
  <si>
    <t>Ten (number)</t>
  </si>
  <si>
    <t>arβan</t>
  </si>
  <si>
    <t>ʦʰak</t>
  </si>
  <si>
    <t>hour</t>
  </si>
  <si>
    <t>Time</t>
  </si>
  <si>
    <t>"Our class starts at twelve o'clock."</t>
  </si>
  <si>
    <t>https://en.wiktionary.org/wiki/%D0%BD%D1%8D%D1%80</t>
  </si>
  <si>
    <t>name</t>
  </si>
  <si>
    <t>https://en.wiktionary.org/wiki/%D0%B3%D1%8D%D1%85</t>
  </si>
  <si>
    <t>Commonly used as a joiner word to report quoted or reported speech.</t>
  </si>
  <si>
    <t>k(ɛ)</t>
  </si>
  <si>
    <t>Call</t>
  </si>
  <si>
    <t>call</t>
  </si>
  <si>
    <t>nɛr</t>
  </si>
  <si>
    <t>Hour</t>
  </si>
  <si>
    <t>"My name is Bat." (Lit. My name is called Bat.)</t>
  </si>
  <si>
    <t>"My name is Bat." (Lit. I am called Bat.)</t>
  </si>
  <si>
    <t>"Who is Bat?" (Lit. Who is called bat?)</t>
  </si>
  <si>
    <t>146b</t>
  </si>
  <si>
    <t>146a</t>
  </si>
  <si>
    <t>"I am (Bat)."</t>
  </si>
  <si>
    <t>today</t>
  </si>
  <si>
    <t>Today</t>
  </si>
  <si>
    <t>buy</t>
  </si>
  <si>
    <t>Buy</t>
  </si>
  <si>
    <t>xotaɬt(a)</t>
  </si>
  <si>
    <t>ʊnɵ:</t>
  </si>
  <si>
    <t>Combines with "day"</t>
  </si>
  <si>
    <t>https://en.wiktionary.org/wiki/%D3%A9%D0%BD%D3%A9%D3%A9%D0%B4%D3%A9%D1%80</t>
  </si>
  <si>
    <t>"This is the book that I bought today."</t>
  </si>
  <si>
    <t>"This is not the book that I bought today."</t>
  </si>
  <si>
    <t>UW PST b</t>
  </si>
  <si>
    <t>"I broke the window with a rock."</t>
  </si>
  <si>
    <t>INST a</t>
  </si>
  <si>
    <t>INST e</t>
  </si>
  <si>
    <t>(k)a:r</t>
  </si>
  <si>
    <t>(k)e:r</t>
  </si>
  <si>
    <t>Key</t>
  </si>
  <si>
    <t>key</t>
  </si>
  <si>
    <t>tʰuɬxu:r</t>
  </si>
  <si>
    <t>"This is a key"</t>
  </si>
  <si>
    <t>"I opened the door with the key."</t>
  </si>
  <si>
    <t>"There is a key."</t>
  </si>
  <si>
    <t>153a</t>
  </si>
  <si>
    <t>153b</t>
  </si>
  <si>
    <t>n</t>
  </si>
  <si>
    <t>"Yes there is a key to this door"</t>
  </si>
  <si>
    <t>"Yes, this has a key."</t>
  </si>
  <si>
    <t xml:space="preserve"> -(ɪ)k</t>
  </si>
  <si>
    <t>PROG</t>
  </si>
  <si>
    <t>IPFV</t>
  </si>
  <si>
    <t>NPST</t>
  </si>
  <si>
    <t xml:space="preserve"> -(ɣ)a:</t>
  </si>
  <si>
    <t xml:space="preserve"> -ʧɨx</t>
  </si>
  <si>
    <t xml:space="preserve"> -ʧax</t>
  </si>
  <si>
    <t xml:space="preserve"> -sɨŋ</t>
  </si>
  <si>
    <t xml:space="preserve"> -saŋ</t>
  </si>
  <si>
    <t xml:space="preserve"> -ɬe:</t>
  </si>
  <si>
    <t>no-</t>
  </si>
  <si>
    <t>Topic</t>
  </si>
  <si>
    <t>https://en.wiktionary.org/wiki/%D0%B1%D0%BE%D0%BB#Mongolian</t>
  </si>
  <si>
    <t>variant of /pe/ . Occurs when following /p/, /m/, or /n/</t>
  </si>
  <si>
    <t>(j)o: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</si>
</sst>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Lucida Sans Unicode"/>
      <family val="2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1"/>
    <xf numFmtId="0" fontId="5" fillId="0" borderId="0" xfId="0" applyFont="1"/>
    <xf numFmtId="0" fontId="8" fillId="0" borderId="0" xfId="0" applyFont="1" applyProtection="1">
      <protection locked="0"/>
    </xf>
    <xf numFmtId="0" fontId="8" fillId="0" borderId="0" xfId="0" applyFont="1"/>
    <xf numFmtId="0" fontId="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top"/>
    </xf>
    <xf numFmtId="16" fontId="1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tionary.org/wiki/-%D0%B4%D0%B0%D0%B3" TargetMode="External"/><Relationship Id="rId13" Type="http://schemas.openxmlformats.org/officeDocument/2006/relationships/hyperlink" Target="https://en.wiktionary.org/wiki/%D1%82%D1%8D%D0%B4_%D0%BD%D0%B0%D1%80" TargetMode="External"/><Relationship Id="rId18" Type="http://schemas.openxmlformats.org/officeDocument/2006/relationships/hyperlink" Target="https://en.wiktionary.org/wiki/%D1%87" TargetMode="External"/><Relationship Id="rId26" Type="http://schemas.openxmlformats.org/officeDocument/2006/relationships/hyperlink" Target="https://en.wiktionary.org/wiki/-%D0%B0%D0%B0" TargetMode="External"/><Relationship Id="rId3" Type="http://schemas.openxmlformats.org/officeDocument/2006/relationships/hyperlink" Target="https://en.wiktionary.org/wiki/-%D1%82" TargetMode="External"/><Relationship Id="rId21" Type="http://schemas.openxmlformats.org/officeDocument/2006/relationships/hyperlink" Target="https://en.wiktionary.org/wiki/-%D0%BB%D0%B0%D0%B0" TargetMode="External"/><Relationship Id="rId34" Type="http://schemas.openxmlformats.org/officeDocument/2006/relationships/hyperlink" Target="https://en.wiktionary.org/wiki/-%D1%82%D0%B0%D0%B9" TargetMode="External"/><Relationship Id="rId7" Type="http://schemas.openxmlformats.org/officeDocument/2006/relationships/hyperlink" Target="https://en.wiktionary.org/wiki/%D0%B7%D2%AF%D0%B3" TargetMode="External"/><Relationship Id="rId12" Type="http://schemas.openxmlformats.org/officeDocument/2006/relationships/hyperlink" Target="https://en.wiktionary.org/wiki/-%D0%B2" TargetMode="External"/><Relationship Id="rId17" Type="http://schemas.openxmlformats.org/officeDocument/2006/relationships/hyperlink" Target="https://en.wiktionary.org/wiki/%D0%B8%D1%80%D1%8D%D1%85" TargetMode="External"/><Relationship Id="rId25" Type="http://schemas.openxmlformats.org/officeDocument/2006/relationships/hyperlink" Target="https://en.wiktionary.org/wiki/-%D0%B0%D0%B0" TargetMode="External"/><Relationship Id="rId33" Type="http://schemas.openxmlformats.org/officeDocument/2006/relationships/hyperlink" Target="https://en.wiktionary.org/wiki/-%D0%BD%D0%B0" TargetMode="External"/><Relationship Id="rId38" Type="http://schemas.openxmlformats.org/officeDocument/2006/relationships/printerSettings" Target="../printerSettings/printerSettings2.bin"/><Relationship Id="rId2" Type="http://schemas.openxmlformats.org/officeDocument/2006/relationships/hyperlink" Target="https://en.wiktionary.org/wiki/-%D2%AF%D2%AF%D0%B4" TargetMode="External"/><Relationship Id="rId16" Type="http://schemas.openxmlformats.org/officeDocument/2006/relationships/hyperlink" Target="https://en.wiktionary.org/wiki/%D1%82%D0%B0%D0%B2%D1%82%D0%B0%D0%B9_%D0%BC%D0%BE%D1%80%D0%B8%D0%BB%D0%BE%D0%B3%D1%82%D1%83%D0%BD" TargetMode="External"/><Relationship Id="rId20" Type="http://schemas.openxmlformats.org/officeDocument/2006/relationships/hyperlink" Target="https://en.wiktionary.org/wiki/-%D1%82%D0%B0%D0%B9" TargetMode="External"/><Relationship Id="rId29" Type="http://schemas.openxmlformats.org/officeDocument/2006/relationships/hyperlink" Target="https://en.wiktionary.org/wiki/%D0%BD%D0%B0%D0%B4%D0%B0%D0%B4" TargetMode="External"/><Relationship Id="rId1" Type="http://schemas.openxmlformats.org/officeDocument/2006/relationships/hyperlink" Target="https://en.wiktionary.org/wiki/-%D0%B4" TargetMode="External"/><Relationship Id="rId6" Type="http://schemas.openxmlformats.org/officeDocument/2006/relationships/hyperlink" Target="https://en.wiktionary.org/wiki/%D1%8D%D0%BD%D1%8D" TargetMode="External"/><Relationship Id="rId11" Type="http://schemas.openxmlformats.org/officeDocument/2006/relationships/hyperlink" Target="https://en.wiktionary.org/wiki/-%D1%81%D0%B0%D0%BD" TargetMode="External"/><Relationship Id="rId24" Type="http://schemas.openxmlformats.org/officeDocument/2006/relationships/hyperlink" Target="https://en.wiktionary.org/wiki/%D1%88%D0%B8%D0%BB" TargetMode="External"/><Relationship Id="rId32" Type="http://schemas.openxmlformats.org/officeDocument/2006/relationships/hyperlink" Target="https://en.wiktionary.org/wiki/%D1%82%D0%B0%D0%BB" TargetMode="External"/><Relationship Id="rId37" Type="http://schemas.openxmlformats.org/officeDocument/2006/relationships/hyperlink" Target="https://en.wiktionary.org/wiki/-%D0%BB%D0%B0%D0%B0" TargetMode="External"/><Relationship Id="rId5" Type="http://schemas.openxmlformats.org/officeDocument/2006/relationships/hyperlink" Target="https://en.wiktionary.org/wiki/-%D0%B6" TargetMode="External"/><Relationship Id="rId15" Type="http://schemas.openxmlformats.org/officeDocument/2006/relationships/hyperlink" Target="https://en.wiktionary.org/wiki/%D1%83%D1%83" TargetMode="External"/><Relationship Id="rId23" Type="http://schemas.openxmlformats.org/officeDocument/2006/relationships/hyperlink" Target="https://en.wiktionary.org/wiki/%D1%82%D1%8D%D1%80" TargetMode="External"/><Relationship Id="rId28" Type="http://schemas.openxmlformats.org/officeDocument/2006/relationships/hyperlink" Target="https://en.wiktionary.org/wiki/%D0%B1%D0%BE%D0%BB%D0%BE%D1%85" TargetMode="External"/><Relationship Id="rId36" Type="http://schemas.openxmlformats.org/officeDocument/2006/relationships/hyperlink" Target="https://en.wiktionary.org/wiki/%D0%B1%D0%B8" TargetMode="External"/><Relationship Id="rId10" Type="http://schemas.openxmlformats.org/officeDocument/2006/relationships/hyperlink" Target="https://en.wiktionary.org/wiki/%D0%B1%D0%B0%D0%B9%D1%80" TargetMode="External"/><Relationship Id="rId19" Type="http://schemas.openxmlformats.org/officeDocument/2006/relationships/hyperlink" Target="https://en.wiktionary.org/wiki/-%D1%82%D0%B0%D0%B9" TargetMode="External"/><Relationship Id="rId31" Type="http://schemas.openxmlformats.org/officeDocument/2006/relationships/hyperlink" Target="https://en.wiktionary.org/wiki/-%D0%B0%D0%B0%D0%BD" TargetMode="External"/><Relationship Id="rId4" Type="http://schemas.openxmlformats.org/officeDocument/2006/relationships/hyperlink" Target="https://en.wiktionary.org/wiki/-%D1%85" TargetMode="External"/><Relationship Id="rId9" Type="http://schemas.openxmlformats.org/officeDocument/2006/relationships/hyperlink" Target="https://en.wiktionary.org/wiki/-%D0%BD%D0%B0" TargetMode="External"/><Relationship Id="rId14" Type="http://schemas.openxmlformats.org/officeDocument/2006/relationships/hyperlink" Target="https://en.wiktionary.org/wiki/-%D1%82" TargetMode="External"/><Relationship Id="rId22" Type="http://schemas.openxmlformats.org/officeDocument/2006/relationships/hyperlink" Target="https://en.wiktionary.org/wiki/%D0%B1%D2%AF%D1%80" TargetMode="External"/><Relationship Id="rId27" Type="http://schemas.openxmlformats.org/officeDocument/2006/relationships/hyperlink" Target="https://en.wiktionary.org/wiki/%D0%B1%D0%B0%D0%BD%D0%B7%D0%B0%D0%BB" TargetMode="External"/><Relationship Id="rId30" Type="http://schemas.openxmlformats.org/officeDocument/2006/relationships/hyperlink" Target="https://en.wiktionary.org/wiki/%D1%82%D1%8D%D0%BC%D1%8D%D1%8D" TargetMode="External"/><Relationship Id="rId35" Type="http://schemas.openxmlformats.org/officeDocument/2006/relationships/hyperlink" Target="https://en.wiktionary.org/wiki/-%D0%B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21"/>
  <sheetViews>
    <sheetView tabSelected="1" topLeftCell="A460" zoomScaleNormal="100" workbookViewId="0">
      <selection activeCell="M515" sqref="M515:M516"/>
    </sheetView>
  </sheetViews>
  <sheetFormatPr defaultRowHeight="15" x14ac:dyDescent="0.25"/>
  <cols>
    <col min="1" max="1" width="9.7109375" style="4" customWidth="1"/>
    <col min="2" max="2" width="9.5703125" style="4" customWidth="1"/>
    <col min="3" max="3" width="9.140625" style="4"/>
    <col min="4" max="4" width="10.5703125" style="4" customWidth="1"/>
    <col min="5" max="16384" width="9.140625" style="4"/>
  </cols>
  <sheetData>
    <row r="1" spans="1:15" x14ac:dyDescent="0.25">
      <c r="B1" s="59" t="s">
        <v>436</v>
      </c>
      <c r="C1" s="59"/>
      <c r="D1" s="59"/>
      <c r="E1" s="59"/>
      <c r="F1" s="59"/>
      <c r="G1" s="59"/>
      <c r="H1" s="59"/>
      <c r="I1" s="59"/>
      <c r="N1" s="5"/>
    </row>
    <row r="2" spans="1:15" x14ac:dyDescent="0.25">
      <c r="A2" s="4" t="s">
        <v>398</v>
      </c>
      <c r="B2" s="4" t="str">
        <f>VLOOKUP(B3,Vocabulary!$A:$B,2,FALSE)</f>
        <v>puskɥi</v>
      </c>
      <c r="C2" s="4" t="str">
        <f>VLOOKUP(C3,Vocabulary!$A:$B,2,FALSE)</f>
        <v>ʦaɬo</v>
      </c>
      <c r="D2" s="4" t="str">
        <f>VLOOKUP(D3,Vocabulary!$A:$B,2,FALSE)</f>
        <v xml:space="preserve"> -kin</v>
      </c>
      <c r="E2" s="4" t="str">
        <f>VLOOKUP(E3,Vocabulary!$A:$B,2,FALSE)</f>
        <v>ɔrt</v>
      </c>
      <c r="F2" s="4" t="str">
        <f>VLOOKUP(F3,Vocabulary!$A:$B,2,FALSE)</f>
        <v>pæ:</v>
      </c>
      <c r="G2" s="4" t="str">
        <f>VLOOKUP(G3,Vocabulary!$A:$B,2,FALSE)</f>
        <v xml:space="preserve"> -n</v>
      </c>
      <c r="N2" s="5"/>
    </row>
    <row r="3" spans="1:15" x14ac:dyDescent="0.25">
      <c r="B3" s="9" t="s">
        <v>391</v>
      </c>
      <c r="C3" s="9" t="s">
        <v>392</v>
      </c>
      <c r="D3" s="9" t="s">
        <v>375</v>
      </c>
      <c r="E3" s="9" t="s">
        <v>393</v>
      </c>
      <c r="F3" s="9" t="s">
        <v>386</v>
      </c>
      <c r="G3" s="9" t="s">
        <v>1305</v>
      </c>
      <c r="N3" s="5"/>
    </row>
    <row r="4" spans="1:15" x14ac:dyDescent="0.25">
      <c r="B4" s="58" t="s">
        <v>394</v>
      </c>
      <c r="C4" s="58"/>
      <c r="D4" s="58"/>
      <c r="E4" s="58"/>
      <c r="F4" s="58"/>
      <c r="N4" s="5"/>
    </row>
    <row r="5" spans="1:15" x14ac:dyDescent="0.25">
      <c r="N5" s="5"/>
      <c r="O5" s="5"/>
    </row>
    <row r="6" spans="1:15" x14ac:dyDescent="0.25">
      <c r="A6" s="4" t="s">
        <v>399</v>
      </c>
      <c r="B6" s="4" t="str">
        <f>VLOOKUP(B7,Vocabulary!$A:$B,2,FALSE)</f>
        <v>ʦaɬo</v>
      </c>
      <c r="C6" s="4" t="str">
        <f>VLOOKUP(C7,Vocabulary!$A:$B,2,FALSE)</f>
        <v>puskɥi</v>
      </c>
      <c r="D6" s="4" t="str">
        <f>VLOOKUP(D7,Vocabulary!$A:$B,2,FALSE)</f>
        <v xml:space="preserve"> -n</v>
      </c>
      <c r="E6" s="4" t="str">
        <f>VLOOKUP(E7,Vocabulary!$A:$B,2,FALSE)</f>
        <v>art</v>
      </c>
      <c r="F6" s="4" t="str">
        <f>VLOOKUP(F7,Vocabulary!$A:$B,2,FALSE)</f>
        <v>pæ:</v>
      </c>
      <c r="G6" s="4" t="str">
        <f>VLOOKUP(G7,Vocabulary!$A:$B,2,FALSE)</f>
        <v xml:space="preserve"> -n</v>
      </c>
      <c r="N6" s="5"/>
    </row>
    <row r="7" spans="1:15" x14ac:dyDescent="0.25">
      <c r="B7" s="9" t="s">
        <v>392</v>
      </c>
      <c r="C7" s="9" t="s">
        <v>391</v>
      </c>
      <c r="D7" s="9" t="s">
        <v>379</v>
      </c>
      <c r="E7" s="9" t="s">
        <v>480</v>
      </c>
      <c r="F7" s="9" t="s">
        <v>386</v>
      </c>
      <c r="G7" s="9" t="s">
        <v>1305</v>
      </c>
      <c r="N7" s="5"/>
      <c r="O7" s="5"/>
    </row>
    <row r="8" spans="1:15" x14ac:dyDescent="0.25">
      <c r="B8" s="58" t="s">
        <v>397</v>
      </c>
      <c r="C8" s="58"/>
      <c r="D8" s="58"/>
      <c r="E8" s="58"/>
      <c r="F8" s="10" t="s">
        <v>475</v>
      </c>
      <c r="G8" s="10"/>
      <c r="H8" s="10"/>
      <c r="I8" s="10"/>
      <c r="N8" s="5"/>
    </row>
    <row r="9" spans="1:15" x14ac:dyDescent="0.25">
      <c r="N9" s="5"/>
    </row>
    <row r="10" spans="1:15" x14ac:dyDescent="0.25">
      <c r="A10" s="4" t="s">
        <v>400</v>
      </c>
      <c r="B10" s="4" t="str">
        <f>VLOOKUP(B11,Vocabulary!$A:$B,2,FALSE)</f>
        <v>puskɥi</v>
      </c>
      <c r="C10" s="4" t="str">
        <f>VLOOKUP(C11,Vocabulary!$A:$B,2,FALSE)</f>
        <v>ʦaɬo</v>
      </c>
      <c r="D10" s="4" t="str">
        <f>VLOOKUP(D11,Vocabulary!$A:$B,2,FALSE)</f>
        <v xml:space="preserve"> -kin</v>
      </c>
      <c r="E10" s="4" t="str">
        <f>VLOOKUP(E11,Vocabulary!$A:$B,2,FALSE)</f>
        <v>ɔrt</v>
      </c>
      <c r="F10" s="4" t="str">
        <f>VLOOKUP(F11,Vocabulary!$A:$B,2,FALSE)</f>
        <v>aɬx(ə)</v>
      </c>
      <c r="G10" s="4" t="str">
        <f>VLOOKUP(G11,Vocabulary!$A:$B,2,FALSE)</f>
        <v xml:space="preserve"> -ʧ</v>
      </c>
      <c r="H10" s="4" t="str">
        <f>VLOOKUP(H11,Vocabulary!$A:$B,2,FALSE)</f>
        <v>pæ:</v>
      </c>
      <c r="I10" s="4" t="str">
        <f>VLOOKUP(I11,Vocabulary!$A:$B,2,FALSE)</f>
        <v xml:space="preserve"> -n</v>
      </c>
      <c r="N10" s="5"/>
    </row>
    <row r="11" spans="1:15" x14ac:dyDescent="0.25">
      <c r="B11" s="38" t="s">
        <v>391</v>
      </c>
      <c r="C11" s="38" t="s">
        <v>392</v>
      </c>
      <c r="D11" s="38" t="s">
        <v>375</v>
      </c>
      <c r="E11" s="38" t="s">
        <v>393</v>
      </c>
      <c r="F11" s="38" t="s">
        <v>904</v>
      </c>
      <c r="G11" s="38" t="s">
        <v>1303</v>
      </c>
      <c r="H11" s="38" t="s">
        <v>386</v>
      </c>
      <c r="I11" s="38" t="s">
        <v>1305</v>
      </c>
      <c r="N11" s="5"/>
    </row>
    <row r="12" spans="1:15" x14ac:dyDescent="0.25">
      <c r="B12" s="58" t="str">
        <f>IF(E11="behind", "The woman is walking in behind the man.", "The woman is walking in front of the man.")</f>
        <v>The woman is walking in front of the man.</v>
      </c>
      <c r="C12" s="58"/>
      <c r="D12" s="58"/>
      <c r="E12" s="58"/>
      <c r="F12" s="58"/>
      <c r="N12" s="5"/>
    </row>
    <row r="13" spans="1:15" x14ac:dyDescent="0.25">
      <c r="N13" s="5"/>
    </row>
    <row r="14" spans="1:15" x14ac:dyDescent="0.25">
      <c r="A14" s="4" t="s">
        <v>401</v>
      </c>
      <c r="B14" s="4" t="str">
        <f>VLOOKUP(B15,Vocabulary!$A:$B,2,FALSE)</f>
        <v>ʦaɬo</v>
      </c>
      <c r="C14" s="4" t="str">
        <f>VLOOKUP(C15,Vocabulary!$A:$B,2,FALSE)</f>
        <v>puskɥi</v>
      </c>
      <c r="D14" s="4" t="str">
        <f>VLOOKUP(D15,Vocabulary!$A:$B,2,FALSE)</f>
        <v xml:space="preserve"> -n</v>
      </c>
      <c r="E14" s="4" t="str">
        <f>VLOOKUP(E15,Vocabulary!$A:$B,2,FALSE)</f>
        <v>art</v>
      </c>
      <c r="F14" s="4" t="str">
        <f>VLOOKUP(F15,Vocabulary!$A:$B,2,FALSE)</f>
        <v>aɬx(ə)</v>
      </c>
      <c r="G14" s="4" t="str">
        <f>VLOOKUP(G15,Vocabulary!$A:$B,2,FALSE)</f>
        <v xml:space="preserve"> -ʧ</v>
      </c>
      <c r="H14" s="4" t="str">
        <f>VLOOKUP(H15,Vocabulary!$A:$B,2,FALSE)</f>
        <v>pæ:</v>
      </c>
      <c r="I14" s="4" t="str">
        <f>VLOOKUP(I15,Vocabulary!$A:$B,2,FALSE)</f>
        <v xml:space="preserve"> -n</v>
      </c>
      <c r="N14" s="5"/>
      <c r="O14" s="5"/>
    </row>
    <row r="15" spans="1:15" x14ac:dyDescent="0.25">
      <c r="B15" s="9" t="s">
        <v>392</v>
      </c>
      <c r="C15" s="9" t="s">
        <v>391</v>
      </c>
      <c r="D15" s="9" t="s">
        <v>379</v>
      </c>
      <c r="E15" s="9" t="s">
        <v>809</v>
      </c>
      <c r="F15" s="9" t="s">
        <v>904</v>
      </c>
      <c r="G15" s="38" t="s">
        <v>1303</v>
      </c>
      <c r="H15" s="38" t="s">
        <v>386</v>
      </c>
      <c r="I15" s="38" t="s">
        <v>1305</v>
      </c>
      <c r="N15" s="5"/>
      <c r="O15" s="5"/>
    </row>
    <row r="16" spans="1:15" x14ac:dyDescent="0.25">
      <c r="B16" s="58" t="s">
        <v>905</v>
      </c>
      <c r="C16" s="58"/>
      <c r="D16" s="58"/>
      <c r="E16" s="58"/>
      <c r="F16" s="10"/>
      <c r="N16" s="5"/>
    </row>
    <row r="17" spans="1:21" x14ac:dyDescent="0.25">
      <c r="N17" s="5"/>
      <c r="O17" s="5"/>
    </row>
    <row r="18" spans="1:21" x14ac:dyDescent="0.25">
      <c r="A18" s="4" t="s">
        <v>402</v>
      </c>
      <c r="B18" s="4" t="str">
        <f>VLOOKUP(B19,Vocabulary!$A:$B,2,FALSE)</f>
        <v>ɔs</v>
      </c>
      <c r="C18" s="4" t="str">
        <f>VLOOKUP(C19,Vocabulary!$A:$B,2,FALSE)</f>
        <v>ʦæ</v>
      </c>
      <c r="D18" s="4" t="str">
        <f>VLOOKUP(D19,Vocabulary!$A:$B,2,FALSE)</f>
        <v xml:space="preserve"> -ni</v>
      </c>
      <c r="E18" s="4" t="str">
        <f>VLOOKUP(E19,Vocabulary!$A:$B,2,FALSE)</f>
        <v>ɔrt</v>
      </c>
      <c r="F18" s="4" t="str">
        <f>VLOOKUP(F19,Vocabulary!$A:$B,2,FALSE)</f>
        <v>pæ:</v>
      </c>
      <c r="G18" s="4" t="str">
        <f>VLOOKUP(G19,Vocabulary!$A:$B,2,FALSE)</f>
        <v xml:space="preserve"> -n</v>
      </c>
      <c r="I18" s="4" t="str">
        <f>VLOOKUP(I19,Vocabulary!$A:$B,2,FALSE)</f>
        <v>ʦæ</v>
      </c>
      <c r="J18" s="4" t="str">
        <f>VLOOKUP(J19,Vocabulary!$A:$B,2,FALSE)</f>
        <v xml:space="preserve"> -ni</v>
      </c>
      <c r="K18" s="4" t="str">
        <f>VLOOKUP(K19,Vocabulary!$A:$B,2,FALSE)</f>
        <v>ɔrt</v>
      </c>
      <c r="L18" s="4" t="str">
        <f>VLOOKUP(L19,Vocabulary!$A:$B,2,FALSE)</f>
        <v>ɔs</v>
      </c>
      <c r="M18" s="4" t="str">
        <f>VLOOKUP(M19,Vocabulary!$A:$B,2,FALSE)</f>
        <v>pæ:</v>
      </c>
      <c r="N18" s="5" t="str">
        <f>VLOOKUP(N19,Vocabulary!$A:$B,2,FALSE)</f>
        <v xml:space="preserve"> -n</v>
      </c>
    </row>
    <row r="19" spans="1:21" x14ac:dyDescent="0.25">
      <c r="B19" s="9" t="s">
        <v>403</v>
      </c>
      <c r="C19" s="9" t="s">
        <v>404</v>
      </c>
      <c r="D19" s="9" t="s">
        <v>374</v>
      </c>
      <c r="E19" s="9" t="s">
        <v>393</v>
      </c>
      <c r="F19" s="9" t="s">
        <v>386</v>
      </c>
      <c r="G19" s="9" t="s">
        <v>1305</v>
      </c>
      <c r="H19" s="4" t="s">
        <v>652</v>
      </c>
      <c r="I19" s="38" t="s">
        <v>404</v>
      </c>
      <c r="J19" s="38" t="s">
        <v>374</v>
      </c>
      <c r="K19" s="38" t="s">
        <v>393</v>
      </c>
      <c r="L19" s="38" t="s">
        <v>403</v>
      </c>
      <c r="M19" s="38" t="s">
        <v>386</v>
      </c>
      <c r="N19" s="43" t="s">
        <v>1305</v>
      </c>
      <c r="O19" s="5"/>
    </row>
    <row r="20" spans="1:21" x14ac:dyDescent="0.25">
      <c r="B20" s="58" t="s">
        <v>406</v>
      </c>
      <c r="C20" s="58"/>
      <c r="D20" s="58"/>
      <c r="E20" s="58"/>
      <c r="F20" s="58"/>
      <c r="I20" s="58" t="s">
        <v>406</v>
      </c>
      <c r="J20" s="58"/>
      <c r="K20" s="58"/>
      <c r="L20" s="58"/>
      <c r="M20" s="58"/>
      <c r="N20" s="5"/>
    </row>
    <row r="21" spans="1:21" s="37" customFormat="1" x14ac:dyDescent="0.25">
      <c r="B21" s="36"/>
      <c r="C21" s="36"/>
      <c r="D21" s="36"/>
      <c r="E21" s="36"/>
      <c r="F21" s="36"/>
      <c r="N21" s="5"/>
    </row>
    <row r="22" spans="1:21" s="37" customFormat="1" x14ac:dyDescent="0.25">
      <c r="A22" s="37" t="s">
        <v>405</v>
      </c>
      <c r="B22" s="37" t="str">
        <f>VLOOKUP(B23,Vocabulary!$A:$B,2,FALSE)</f>
        <v>ɔs</v>
      </c>
      <c r="C22" s="37" t="str">
        <f>VLOOKUP(C23,Vocabulary!$A:$B,2,FALSE)</f>
        <v xml:space="preserve"> -ni</v>
      </c>
      <c r="D22" s="37" t="str">
        <f>VLOOKUP(D23,Vocabulary!$A:$B,2,FALSE)</f>
        <v>art</v>
      </c>
      <c r="E22" s="37" t="str">
        <f>VLOOKUP(E23,Vocabulary!$A:$B,2,FALSE)</f>
        <v>ʦæ</v>
      </c>
      <c r="F22" s="37" t="str">
        <f>VLOOKUP(F23,Vocabulary!$A:$B,2,FALSE)</f>
        <v>pæ:</v>
      </c>
      <c r="G22" s="37" t="str">
        <f>VLOOKUP(G23,Vocabulary!$A:$B,2,FALSE)</f>
        <v xml:space="preserve"> -n</v>
      </c>
      <c r="I22" s="37" t="str">
        <f>VLOOKUP(I23,Vocabulary!$A:$B,2,FALSE)</f>
        <v>ʦæ</v>
      </c>
      <c r="J22" s="37" t="str">
        <f>VLOOKUP(J23,Vocabulary!$A:$B,2,FALSE)</f>
        <v>ɔs</v>
      </c>
      <c r="K22" s="37" t="str">
        <f>VLOOKUP(K23,Vocabulary!$A:$B,2,FALSE)</f>
        <v xml:space="preserve"> -ni</v>
      </c>
      <c r="L22" s="37" t="str">
        <f>VLOOKUP(L23,Vocabulary!$A:$B,2,FALSE)</f>
        <v>art</v>
      </c>
      <c r="M22" s="37" t="str">
        <f>VLOOKUP(M23,Vocabulary!$A:$B,2,FALSE)</f>
        <v>pæ:</v>
      </c>
      <c r="N22" s="37" t="str">
        <f>VLOOKUP(N23,Vocabulary!$A:$B,2,FALSE)</f>
        <v xml:space="preserve"> -n</v>
      </c>
    </row>
    <row r="23" spans="1:21" s="37" customFormat="1" x14ac:dyDescent="0.25">
      <c r="B23" s="38" t="s">
        <v>403</v>
      </c>
      <c r="C23" s="38" t="s">
        <v>374</v>
      </c>
      <c r="D23" s="38" t="s">
        <v>809</v>
      </c>
      <c r="E23" s="38" t="s">
        <v>404</v>
      </c>
      <c r="F23" s="38" t="s">
        <v>386</v>
      </c>
      <c r="G23" s="38" t="s">
        <v>1305</v>
      </c>
      <c r="H23" s="37" t="s">
        <v>652</v>
      </c>
      <c r="I23" s="38" t="s">
        <v>404</v>
      </c>
      <c r="J23" s="38" t="s">
        <v>403</v>
      </c>
      <c r="K23" s="38" t="s">
        <v>374</v>
      </c>
      <c r="L23" s="38" t="s">
        <v>809</v>
      </c>
      <c r="M23" s="38" t="s">
        <v>386</v>
      </c>
      <c r="N23" s="38" t="s">
        <v>1305</v>
      </c>
      <c r="T23" s="38"/>
      <c r="U23" s="38"/>
    </row>
    <row r="24" spans="1:21" x14ac:dyDescent="0.25">
      <c r="B24" s="58" t="s">
        <v>907</v>
      </c>
      <c r="C24" s="58"/>
      <c r="D24" s="58"/>
      <c r="E24" s="58"/>
      <c r="F24" s="58"/>
      <c r="G24" s="58"/>
      <c r="I24" s="58" t="s">
        <v>907</v>
      </c>
      <c r="J24" s="58"/>
      <c r="K24" s="58"/>
      <c r="L24" s="58"/>
      <c r="M24" s="58"/>
      <c r="N24" s="58"/>
      <c r="T24" s="36"/>
      <c r="U24" s="37"/>
    </row>
    <row r="25" spans="1:21" s="37" customFormat="1" x14ac:dyDescent="0.25">
      <c r="B25" s="36"/>
      <c r="C25" s="36"/>
      <c r="D25" s="36"/>
      <c r="E25" s="36"/>
      <c r="F25" s="36"/>
      <c r="G25" s="36"/>
      <c r="N25" s="5"/>
    </row>
    <row r="26" spans="1:21" s="37" customFormat="1" x14ac:dyDescent="0.25">
      <c r="A26" s="37" t="s">
        <v>407</v>
      </c>
      <c r="B26" s="37" t="str">
        <f>VLOOKUP(B27,Vocabulary!$A:$B,2,FALSE)</f>
        <v>ɔs</v>
      </c>
      <c r="C26" s="37" t="str">
        <f>VLOOKUP(C27,Vocabulary!$A:$B,2,FALSE)</f>
        <v>ʦæ</v>
      </c>
      <c r="D26" s="37" t="str">
        <f>VLOOKUP(D27,Vocabulary!$A:$B,2,FALSE)</f>
        <v xml:space="preserve"> -ni</v>
      </c>
      <c r="E26" s="37" t="str">
        <f>VLOOKUP(E27,Vocabulary!$A:$B,2,FALSE)</f>
        <v>art</v>
      </c>
      <c r="F26" s="37" t="str">
        <f>VLOOKUP(F27,Vocabulary!$A:$B,2,FALSE)</f>
        <v>pæ:</v>
      </c>
      <c r="G26" s="37" t="str">
        <f>VLOOKUP(G27,Vocabulary!$A:$B,2,FALSE)</f>
        <v xml:space="preserve"> -n</v>
      </c>
      <c r="N26" s="5"/>
    </row>
    <row r="27" spans="1:21" s="37" customFormat="1" x14ac:dyDescent="0.25">
      <c r="B27" s="38" t="s">
        <v>403</v>
      </c>
      <c r="C27" s="38" t="s">
        <v>404</v>
      </c>
      <c r="D27" s="38" t="s">
        <v>374</v>
      </c>
      <c r="E27" s="38" t="s">
        <v>809</v>
      </c>
      <c r="F27" s="38" t="s">
        <v>386</v>
      </c>
      <c r="G27" s="38" t="s">
        <v>1305</v>
      </c>
      <c r="N27" s="5"/>
    </row>
    <row r="28" spans="1:21" s="37" customFormat="1" x14ac:dyDescent="0.25">
      <c r="B28" s="58" t="s">
        <v>906</v>
      </c>
      <c r="C28" s="58"/>
      <c r="D28" s="58"/>
      <c r="E28" s="58"/>
      <c r="F28" s="58"/>
      <c r="N28" s="5"/>
    </row>
    <row r="29" spans="1:21" s="37" customFormat="1" x14ac:dyDescent="0.25">
      <c r="H29" s="41"/>
      <c r="I29" s="41"/>
      <c r="N29" s="5"/>
    </row>
    <row r="30" spans="1:21" s="37" customFormat="1" x14ac:dyDescent="0.25">
      <c r="A30" s="37" t="s">
        <v>408</v>
      </c>
      <c r="B30" s="42" t="str">
        <f>VLOOKUP(B31,Vocabulary!$A:$B,2,FALSE)</f>
        <v>ʦæ</v>
      </c>
      <c r="C30" s="42" t="str">
        <f>VLOOKUP(C31,Vocabulary!$A:$B,2,FALSE)</f>
        <v>ɔs</v>
      </c>
      <c r="D30" s="42" t="str">
        <f>VLOOKUP(D31,Vocabulary!$A:$B,2,FALSE)</f>
        <v xml:space="preserve"> -ni</v>
      </c>
      <c r="E30" s="42" t="str">
        <f>VLOOKUP(E31,Vocabulary!$A:$B,2,FALSE)</f>
        <v>ɔrt</v>
      </c>
      <c r="F30" s="42" t="str">
        <f>VLOOKUP(F31,Vocabulary!$A:$B,2,FALSE)</f>
        <v>pæ:</v>
      </c>
      <c r="G30" s="42" t="str">
        <f>VLOOKUP(G31,Vocabulary!$A:$B,2,FALSE)</f>
        <v xml:space="preserve"> -n</v>
      </c>
      <c r="N30" s="5"/>
    </row>
    <row r="31" spans="1:21" x14ac:dyDescent="0.25">
      <c r="A31" s="37"/>
      <c r="B31" s="38" t="s">
        <v>404</v>
      </c>
      <c r="C31" s="38" t="s">
        <v>403</v>
      </c>
      <c r="D31" s="38" t="s">
        <v>374</v>
      </c>
      <c r="E31" s="38" t="s">
        <v>393</v>
      </c>
      <c r="F31" s="38" t="s">
        <v>386</v>
      </c>
      <c r="G31" s="38" t="s">
        <v>1305</v>
      </c>
      <c r="N31" s="5"/>
    </row>
    <row r="32" spans="1:21" x14ac:dyDescent="0.25">
      <c r="B32" s="58" t="s">
        <v>908</v>
      </c>
      <c r="C32" s="58"/>
      <c r="D32" s="58"/>
      <c r="E32" s="58"/>
      <c r="F32" s="58"/>
      <c r="G32" s="58"/>
      <c r="N32" s="5"/>
      <c r="O32" s="5"/>
    </row>
    <row r="33" spans="1:15" x14ac:dyDescent="0.25">
      <c r="N33" s="5"/>
    </row>
    <row r="34" spans="1:15" x14ac:dyDescent="0.25">
      <c r="B34" s="4" t="str">
        <f>VLOOKUP(B35,Vocabulary!$A:$B,2,FALSE)</f>
        <v>ɔs</v>
      </c>
      <c r="C34" s="4" t="str">
        <f>VLOOKUP(C35,Vocabulary!$A:$B,2,FALSE)</f>
        <v>ʦæ</v>
      </c>
      <c r="D34" s="4" t="str">
        <f>VLOOKUP(D35,Vocabulary!$A:$B,2,FALSE)</f>
        <v>pi</v>
      </c>
      <c r="E34" s="4" t="str">
        <f>VLOOKUP(E35,Vocabulary!$A:$B,2,FALSE)</f>
        <v xml:space="preserve"> -t</v>
      </c>
      <c r="F34" s="4" t="str">
        <f>VLOOKUP(F35,Vocabulary!$A:$B,2,FALSE)</f>
        <v>xɑjər</v>
      </c>
      <c r="G34" s="4" t="str">
        <f>VLOOKUP(G35,Vocabulary!$A:$B,2,FALSE)</f>
        <v xml:space="preserve"> -in</v>
      </c>
      <c r="H34" s="4" t="str">
        <f>VLOOKUP(H35,Vocabulary!$A:$B,2,FALSE)</f>
        <v>tond</v>
      </c>
      <c r="I34" s="4" t="str">
        <f>VLOOKUP(I35,Vocabulary!$A:$B,2,FALSE)</f>
        <v>pæ:</v>
      </c>
      <c r="J34" s="4" t="str">
        <f>VLOOKUP(J35,Vocabulary!$A:$B,2,FALSE)</f>
        <v xml:space="preserve"> -n</v>
      </c>
      <c r="N34" s="5"/>
    </row>
    <row r="35" spans="1:15" x14ac:dyDescent="0.25">
      <c r="A35" s="4">
        <v>3</v>
      </c>
      <c r="B35" s="9" t="s">
        <v>403</v>
      </c>
      <c r="C35" s="9" t="s">
        <v>404</v>
      </c>
      <c r="D35" s="9" t="s">
        <v>932</v>
      </c>
      <c r="E35" s="9" t="s">
        <v>426</v>
      </c>
      <c r="F35" s="9" t="s">
        <v>410</v>
      </c>
      <c r="G35" s="9" t="s">
        <v>411</v>
      </c>
      <c r="H35" s="9" t="s">
        <v>413</v>
      </c>
      <c r="I35" s="9" t="s">
        <v>386</v>
      </c>
      <c r="J35" s="9" t="s">
        <v>1305</v>
      </c>
      <c r="N35" s="5"/>
    </row>
    <row r="36" spans="1:15" x14ac:dyDescent="0.25">
      <c r="B36" s="64" t="s">
        <v>414</v>
      </c>
      <c r="C36" s="64"/>
      <c r="D36" s="64"/>
      <c r="E36" s="64"/>
      <c r="F36" s="64"/>
      <c r="G36" s="64"/>
      <c r="H36" s="64"/>
      <c r="I36" s="64"/>
      <c r="N36" s="5"/>
    </row>
    <row r="37" spans="1:15" x14ac:dyDescent="0.25">
      <c r="N37" s="5"/>
    </row>
    <row r="38" spans="1:15" x14ac:dyDescent="0.25">
      <c r="B38" s="4" t="str">
        <f>VLOOKUP(B39,Vocabulary!$A:$B,2,FALSE)</f>
        <v>maʃin</v>
      </c>
      <c r="C38" s="4" t="str">
        <f>VLOOKUP(C39,Vocabulary!$A:$B,2,FALSE)</f>
        <v xml:space="preserve"> -i</v>
      </c>
      <c r="D38" s="4" t="str">
        <f>VLOOKUP(D39,Vocabulary!$A:$B,2,FALSE)</f>
        <v>ɔrt</v>
      </c>
      <c r="E38" s="4" t="str">
        <f>VLOOKUP(E39,Vocabulary!$A:$B,2,FALSE)</f>
        <v>taɬ</v>
      </c>
      <c r="F38" s="4" t="str">
        <f>VLOOKUP(F39,Vocabulary!$A:$B,2,FALSE)</f>
        <v xml:space="preserve"> -n</v>
      </c>
      <c r="G38" s="4" t="str">
        <f>VLOOKUP(G39,Vocabulary!$A:$B,2,FALSE)</f>
        <v>ʦʰaɣaŋ</v>
      </c>
      <c r="H38" s="4" t="str">
        <f>VLOOKUP(H39,Vocabulary!$A:$B,2,FALSE)</f>
        <v>ʊŋktʰe</v>
      </c>
      <c r="I38" s="4" t="str">
        <f>VLOOKUP(I39,Vocabulary!$A:$B,2,FALSE)</f>
        <v>pæ:</v>
      </c>
      <c r="J38" s="4" t="str">
        <f>VLOOKUP(J39,Vocabulary!$A:$B,2,FALSE)</f>
        <v xml:space="preserve"> -n</v>
      </c>
      <c r="N38" s="5"/>
    </row>
    <row r="39" spans="1:15" x14ac:dyDescent="0.25">
      <c r="A39" s="4">
        <v>4</v>
      </c>
      <c r="B39" s="9" t="s">
        <v>415</v>
      </c>
      <c r="C39" s="9" t="s">
        <v>389</v>
      </c>
      <c r="D39" s="9" t="s">
        <v>393</v>
      </c>
      <c r="E39" s="9" t="s">
        <v>422</v>
      </c>
      <c r="F39" s="9" t="s">
        <v>478</v>
      </c>
      <c r="G39" s="9" t="s">
        <v>419</v>
      </c>
      <c r="H39" s="9" t="s">
        <v>420</v>
      </c>
      <c r="I39" s="9" t="s">
        <v>386</v>
      </c>
      <c r="J39" s="9" t="s">
        <v>1305</v>
      </c>
      <c r="N39" s="5"/>
    </row>
    <row r="40" spans="1:15" x14ac:dyDescent="0.25">
      <c r="B40" s="58" t="str">
        <f>IF(D39 = "front", "'The front of the car is white'", IF(D39 = "side", "'The side of the car is white'","'The back of the car is white'"))</f>
        <v>'The front of the car is white'</v>
      </c>
      <c r="C40" s="58"/>
      <c r="D40" s="58"/>
      <c r="E40" s="58"/>
      <c r="F40" s="58"/>
      <c r="G40" s="58"/>
      <c r="H40" s="58"/>
      <c r="I40" s="58"/>
      <c r="N40" s="5"/>
    </row>
    <row r="41" spans="1:15" x14ac:dyDescent="0.25">
      <c r="B41" s="8" t="s">
        <v>429</v>
      </c>
      <c r="N41" s="5"/>
    </row>
    <row r="42" spans="1:15" x14ac:dyDescent="0.25">
      <c r="N42" s="5"/>
    </row>
    <row r="43" spans="1:15" x14ac:dyDescent="0.25">
      <c r="B43" s="4" t="str">
        <f>VLOOKUP(B44,Vocabulary!$A:$B,2,FALSE)</f>
        <v>maʃin</v>
      </c>
      <c r="C43" s="4" t="str">
        <f>VLOOKUP(C44,Vocabulary!$A:$B,2,FALSE)</f>
        <v xml:space="preserve"> -i</v>
      </c>
      <c r="D43" s="4" t="str">
        <f>VLOOKUP(D44,Vocabulary!$A:$B,2,FALSE)</f>
        <v>xaʧo</v>
      </c>
      <c r="E43" s="4" t="str">
        <f>VLOOKUP(E44,Vocabulary!$A:$B,2,FALSE)</f>
        <v>taɬ</v>
      </c>
      <c r="F43" s="4" t="str">
        <f>VLOOKUP(F44,Vocabulary!$A:$B,2,FALSE)</f>
        <v xml:space="preserve"> -o:t</v>
      </c>
      <c r="G43" s="4" t="str">
        <f>VLOOKUP(G44,Vocabulary!$A:$B,2,FALSE)</f>
        <v xml:space="preserve"> -n</v>
      </c>
      <c r="H43" s="4" t="str">
        <f>VLOOKUP(H44,Vocabulary!$A:$B,2,FALSE)</f>
        <v>ʦʰaɣaŋ</v>
      </c>
      <c r="I43" s="4" t="str">
        <f>VLOOKUP(I44,Vocabulary!$A:$B,2,FALSE)</f>
        <v>ʊŋktʰe</v>
      </c>
      <c r="J43" s="4" t="str">
        <f>VLOOKUP(J44,Vocabulary!$A:$B,2,FALSE)</f>
        <v>pæ:</v>
      </c>
      <c r="K43" s="4" t="str">
        <f>VLOOKUP(K44,Vocabulary!$A:$B,2,FALSE)</f>
        <v xml:space="preserve"> -n</v>
      </c>
      <c r="N43" s="5"/>
      <c r="O43" s="5"/>
    </row>
    <row r="44" spans="1:15" x14ac:dyDescent="0.25">
      <c r="A44" s="4" t="s">
        <v>431</v>
      </c>
      <c r="B44" s="9" t="s">
        <v>415</v>
      </c>
      <c r="C44" s="9" t="s">
        <v>389</v>
      </c>
      <c r="D44" s="9" t="s">
        <v>416</v>
      </c>
      <c r="E44" s="9" t="s">
        <v>422</v>
      </c>
      <c r="F44" s="9" t="s">
        <v>427</v>
      </c>
      <c r="G44" s="9" t="s">
        <v>478</v>
      </c>
      <c r="H44" s="9" t="s">
        <v>419</v>
      </c>
      <c r="I44" s="9" t="s">
        <v>420</v>
      </c>
      <c r="J44" s="9" t="s">
        <v>386</v>
      </c>
      <c r="K44" s="9" t="s">
        <v>1305</v>
      </c>
      <c r="N44" s="5"/>
    </row>
    <row r="45" spans="1:15" x14ac:dyDescent="0.25">
      <c r="B45" s="58" t="s">
        <v>428</v>
      </c>
      <c r="C45" s="58"/>
      <c r="D45" s="58"/>
      <c r="E45" s="58"/>
      <c r="F45" s="58"/>
      <c r="G45" s="58"/>
      <c r="H45" s="58"/>
      <c r="I45" s="58"/>
      <c r="J45" s="58"/>
      <c r="N45" s="5"/>
    </row>
    <row r="46" spans="1:15" x14ac:dyDescent="0.25">
      <c r="B46" s="8" t="s">
        <v>430</v>
      </c>
      <c r="E46" s="8"/>
      <c r="N46" s="5"/>
    </row>
    <row r="47" spans="1:15" x14ac:dyDescent="0.25">
      <c r="N47" s="5"/>
    </row>
    <row r="48" spans="1:15" x14ac:dyDescent="0.25">
      <c r="B48" s="4" t="str">
        <f>VLOOKUP(B49,Vocabulary!$A:$B,2,FALSE)</f>
        <v>maʃin</v>
      </c>
      <c r="C48" s="4" t="str">
        <f>VLOOKUP(C49,Vocabulary!$A:$B,2,FALSE)</f>
        <v xml:space="preserve"> -i</v>
      </c>
      <c r="D48" s="4" t="str">
        <f>VLOOKUP(D49,Vocabulary!$A:$B,2,FALSE)</f>
        <v>xɑjər</v>
      </c>
      <c r="E48" s="4" t="str">
        <f>VLOOKUP(E49,Vocabulary!$A:$B,2,FALSE)</f>
        <v>xaʧo</v>
      </c>
      <c r="F48" s="4" t="str">
        <f>VLOOKUP(F49,Vocabulary!$A:$B,2,FALSE)</f>
        <v>taɬ</v>
      </c>
      <c r="G48" s="4" t="str">
        <f>VLOOKUP(G49,Vocabulary!$A:$B,2,FALSE)</f>
        <v xml:space="preserve"> -n</v>
      </c>
      <c r="H48" s="4" t="str">
        <f>VLOOKUP(H49,Vocabulary!$A:$B,2,FALSE)</f>
        <v>ʦʰaɣaŋ</v>
      </c>
      <c r="I48" s="4" t="str">
        <f>VLOOKUP(I49,Vocabulary!$A:$B,2,FALSE)</f>
        <v>ʊŋktʰe</v>
      </c>
      <c r="J48" s="4" t="str">
        <f>VLOOKUP(J49,Vocabulary!$A:$B,2,FALSE)</f>
        <v>pæ:</v>
      </c>
      <c r="K48" s="4" t="str">
        <f>VLOOKUP(K49,Vocabulary!$A:$B,2,FALSE)</f>
        <v xml:space="preserve"> -n</v>
      </c>
      <c r="N48" s="5"/>
    </row>
    <row r="49" spans="1:15" x14ac:dyDescent="0.25">
      <c r="A49" s="4" t="s">
        <v>432</v>
      </c>
      <c r="B49" s="9" t="s">
        <v>415</v>
      </c>
      <c r="C49" s="9" t="s">
        <v>389</v>
      </c>
      <c r="D49" s="9" t="s">
        <v>410</v>
      </c>
      <c r="E49" s="9" t="s">
        <v>416</v>
      </c>
      <c r="F49" s="9" t="s">
        <v>422</v>
      </c>
      <c r="G49" s="9" t="s">
        <v>478</v>
      </c>
      <c r="H49" s="9" t="s">
        <v>419</v>
      </c>
      <c r="I49" s="9" t="s">
        <v>420</v>
      </c>
      <c r="J49" s="9" t="s">
        <v>386</v>
      </c>
      <c r="K49" s="9" t="s">
        <v>1305</v>
      </c>
      <c r="N49" s="5"/>
    </row>
    <row r="50" spans="1:15" x14ac:dyDescent="0.25">
      <c r="B50" s="8" t="s">
        <v>433</v>
      </c>
      <c r="G50" s="10"/>
      <c r="N50" s="5"/>
      <c r="O50" s="5"/>
    </row>
    <row r="51" spans="1:15" x14ac:dyDescent="0.25">
      <c r="B51" s="8" t="s">
        <v>430</v>
      </c>
      <c r="E51" s="8" t="s">
        <v>434</v>
      </c>
      <c r="N51" s="5"/>
    </row>
    <row r="52" spans="1:15" x14ac:dyDescent="0.25">
      <c r="N52" s="5"/>
      <c r="O52" s="5"/>
    </row>
    <row r="53" spans="1:15" x14ac:dyDescent="0.25">
      <c r="B53" s="59" t="s">
        <v>437</v>
      </c>
      <c r="C53" s="60"/>
      <c r="D53" s="60"/>
      <c r="E53" s="60"/>
      <c r="F53" s="60"/>
      <c r="G53" s="60"/>
      <c r="H53" s="60"/>
      <c r="I53" s="60"/>
      <c r="J53" s="60"/>
      <c r="N53" s="5"/>
    </row>
    <row r="54" spans="1:15" x14ac:dyDescent="0.25">
      <c r="B54" s="4" t="str">
        <f>VLOOKUP(B55,Vocabulary!$A:$B,2,FALSE)</f>
        <v>ɪn</v>
      </c>
      <c r="C54" s="4" t="str">
        <f>VLOOKUP(C55,Vocabulary!$A:$B,2,FALSE)</f>
        <v>pɑɬ</v>
      </c>
      <c r="D54" s="4" t="str">
        <f>VLOOKUP(D55,Vocabulary!$A:$B,2,FALSE)</f>
        <v>paɬt</v>
      </c>
      <c r="E54" s="4" t="str">
        <f>VLOOKUP(E55,Vocabulary!$A:$B,2,FALSE)</f>
        <v xml:space="preserve"> -in</v>
      </c>
      <c r="F54" s="4" t="str">
        <f>VLOOKUP(F55,Vocabulary!$A:$B,2,FALSE)</f>
        <v>nam</v>
      </c>
      <c r="N54" s="5"/>
      <c r="O54" s="5"/>
    </row>
    <row r="55" spans="1:15" x14ac:dyDescent="0.25">
      <c r="A55" s="4">
        <v>6</v>
      </c>
      <c r="B55" s="9" t="s">
        <v>438</v>
      </c>
      <c r="C55" s="9" t="s">
        <v>916</v>
      </c>
      <c r="D55" s="9" t="s">
        <v>435</v>
      </c>
      <c r="E55" s="9" t="s">
        <v>411</v>
      </c>
      <c r="F55" s="9" t="s">
        <v>439</v>
      </c>
      <c r="N55" s="5"/>
      <c r="O55" s="5"/>
    </row>
    <row r="56" spans="1:15" x14ac:dyDescent="0.25">
      <c r="B56" s="58" t="s">
        <v>449</v>
      </c>
      <c r="C56" s="58"/>
      <c r="D56" s="58"/>
      <c r="E56" s="58"/>
      <c r="F56" s="58"/>
      <c r="N56" s="5"/>
      <c r="O56" s="5"/>
    </row>
    <row r="57" spans="1:15" x14ac:dyDescent="0.25">
      <c r="N57" s="5"/>
    </row>
    <row r="58" spans="1:15" x14ac:dyDescent="0.25">
      <c r="B58" s="4" t="str">
        <f>VLOOKUP(B59,Vocabulary!$A:$B,2,FALSE)</f>
        <v>ɪn</v>
      </c>
      <c r="C58" s="4" t="str">
        <f>VLOOKUP(C59,Vocabulary!$A:$B,2,FALSE)</f>
        <v>pɑɬ</v>
      </c>
      <c r="D58" s="4" t="str">
        <f>VLOOKUP(D59,Vocabulary!$A:$B,2,FALSE)</f>
        <v>ʦaɬo</v>
      </c>
      <c r="E58" s="4" t="str">
        <f>VLOOKUP(E59,Vocabulary!$A:$B,2,FALSE)</f>
        <v xml:space="preserve"> -kin</v>
      </c>
      <c r="F58" s="4" t="str">
        <f>VLOOKUP(F59,Vocabulary!$A:$B,2,FALSE)</f>
        <v>nam</v>
      </c>
      <c r="N58" s="5"/>
      <c r="O58" s="6"/>
    </row>
    <row r="59" spans="1:15" x14ac:dyDescent="0.25">
      <c r="A59" s="4">
        <v>7</v>
      </c>
      <c r="B59" s="9" t="s">
        <v>438</v>
      </c>
      <c r="C59" s="9" t="s">
        <v>916</v>
      </c>
      <c r="D59" s="9" t="s">
        <v>392</v>
      </c>
      <c r="E59" s="9" t="s">
        <v>375</v>
      </c>
      <c r="F59" s="9" t="s">
        <v>439</v>
      </c>
      <c r="N59" s="5"/>
      <c r="O59" s="5"/>
    </row>
    <row r="60" spans="1:15" x14ac:dyDescent="0.25">
      <c r="B60" s="58" t="s">
        <v>450</v>
      </c>
      <c r="C60" s="58"/>
      <c r="D60" s="58"/>
      <c r="E60" s="58"/>
      <c r="F60" s="58"/>
      <c r="N60" s="5"/>
    </row>
    <row r="61" spans="1:15" x14ac:dyDescent="0.25">
      <c r="N61" s="5"/>
    </row>
    <row r="62" spans="1:15" x14ac:dyDescent="0.25">
      <c r="B62" s="4" t="str">
        <f>VLOOKUP(B63,Vocabulary!$A:$B,2,FALSE)</f>
        <v>ʦæ</v>
      </c>
      <c r="C62" s="4" t="str">
        <f>VLOOKUP(C63,Vocabulary!$A:$B,2,FALSE)</f>
        <v xml:space="preserve"> -ni</v>
      </c>
      <c r="D62" s="4" t="str">
        <f>VLOOKUP(D63,Vocabulary!$A:$B,2,FALSE)</f>
        <v>xærʦʰək</v>
      </c>
      <c r="N62" s="5"/>
    </row>
    <row r="63" spans="1:15" x14ac:dyDescent="0.25">
      <c r="A63" s="4">
        <v>8</v>
      </c>
      <c r="B63" s="9" t="s">
        <v>404</v>
      </c>
      <c r="C63" s="9" t="s">
        <v>374</v>
      </c>
      <c r="D63" s="9" t="s">
        <v>445</v>
      </c>
      <c r="N63" s="5"/>
      <c r="O63" s="5"/>
    </row>
    <row r="64" spans="1:15" x14ac:dyDescent="0.25">
      <c r="B64" s="58" t="s">
        <v>451</v>
      </c>
      <c r="C64" s="58"/>
      <c r="D64" s="58"/>
      <c r="N64" s="5"/>
    </row>
    <row r="65" spans="1:15" x14ac:dyDescent="0.25">
      <c r="N65" s="5"/>
    </row>
    <row r="66" spans="1:15" x14ac:dyDescent="0.25">
      <c r="B66" s="4" t="str">
        <f>VLOOKUP(B67,Vocabulary!$A:$B,2,FALSE)</f>
        <v>ɪn</v>
      </c>
      <c r="C66" s="4" t="str">
        <f>VLOOKUP(C67,Vocabulary!$A:$B,2,FALSE)</f>
        <v>pæ:</v>
      </c>
      <c r="D66" s="4" t="str">
        <f>VLOOKUP(D67,Vocabulary!$A:$B,2,FALSE)</f>
        <v>maʃin</v>
      </c>
      <c r="N66" s="5"/>
    </row>
    <row r="67" spans="1:15" x14ac:dyDescent="0.25">
      <c r="A67" s="4">
        <v>9</v>
      </c>
      <c r="B67" s="9" t="s">
        <v>438</v>
      </c>
      <c r="C67" s="9" t="s">
        <v>386</v>
      </c>
      <c r="D67" s="9" t="s">
        <v>415</v>
      </c>
      <c r="N67" s="5"/>
    </row>
    <row r="68" spans="1:15" x14ac:dyDescent="0.25">
      <c r="B68" s="58" t="s">
        <v>452</v>
      </c>
      <c r="C68" s="58"/>
      <c r="D68" s="58"/>
      <c r="N68" s="5"/>
    </row>
    <row r="69" spans="1:15" x14ac:dyDescent="0.25">
      <c r="N69" s="5"/>
    </row>
    <row r="70" spans="1:15" x14ac:dyDescent="0.25">
      <c r="B70" s="4" t="str">
        <f>VLOOKUP(B71,Vocabulary!$A:$B,2,FALSE)</f>
        <v>paɬɔ:r</v>
      </c>
      <c r="C70" s="4" t="str">
        <f>VLOOKUP(C71,Vocabulary!$A:$B,2,FALSE)</f>
        <v>ʊʦɨk</v>
      </c>
      <c r="D70" s="4" t="str">
        <f>VLOOKUP(D71,Vocabulary!$A:$B,2,FALSE)</f>
        <v xml:space="preserve"> -ni</v>
      </c>
      <c r="E70" s="4" t="str">
        <f>VLOOKUP(E71,Vocabulary!$A:$B,2,FALSE)</f>
        <v>xaʧo</v>
      </c>
      <c r="F70" s="4" t="str">
        <f>VLOOKUP(F71,Vocabulary!$A:$B,2,FALSE)</f>
        <v xml:space="preserve"> -t</v>
      </c>
      <c r="G70" s="4" t="str">
        <f>VLOOKUP(G71,Vocabulary!$A:$B,2,FALSE)</f>
        <v>pæ:</v>
      </c>
      <c r="H70" s="4" t="str">
        <f>VLOOKUP(H71,Vocabulary!$A:$B,2,FALSE)</f>
        <v xml:space="preserve"> -n</v>
      </c>
      <c r="N70" s="5"/>
    </row>
    <row r="71" spans="1:15" x14ac:dyDescent="0.25">
      <c r="A71" s="4">
        <v>10</v>
      </c>
      <c r="B71" s="9" t="s">
        <v>457</v>
      </c>
      <c r="C71" s="9" t="s">
        <v>458</v>
      </c>
      <c r="D71" s="9" t="s">
        <v>374</v>
      </c>
      <c r="E71" s="9" t="s">
        <v>416</v>
      </c>
      <c r="F71" s="9" t="s">
        <v>418</v>
      </c>
      <c r="G71" s="9" t="s">
        <v>386</v>
      </c>
      <c r="H71" s="9" t="s">
        <v>1305</v>
      </c>
      <c r="N71" s="5"/>
    </row>
    <row r="72" spans="1:15" x14ac:dyDescent="0.25">
      <c r="B72" s="58" t="s">
        <v>459</v>
      </c>
      <c r="C72" s="58"/>
      <c r="D72" s="58"/>
      <c r="E72" s="58"/>
      <c r="F72" s="58"/>
      <c r="N72" s="5"/>
      <c r="O72" s="5"/>
    </row>
    <row r="73" spans="1:15" x14ac:dyDescent="0.25">
      <c r="N73" s="5"/>
    </row>
    <row r="74" spans="1:15" x14ac:dyDescent="0.25">
      <c r="B74" s="4" t="str">
        <f>VLOOKUP(B75,Vocabulary!$A:$B,2,FALSE)</f>
        <v>paɬɔ:r</v>
      </c>
      <c r="C74" s="4" t="str">
        <f>VLOOKUP(C75,Vocabulary!$A:$B,2,FALSE)</f>
        <v>ʃɪɾe:</v>
      </c>
      <c r="D74" s="4" t="str">
        <f>VLOOKUP(D75,Vocabulary!$A:$B,2,FALSE)</f>
        <v xml:space="preserve"> -n</v>
      </c>
      <c r="E74" s="4" t="str">
        <f>VLOOKUP(E75,Vocabulary!$A:$B,2,FALSE)</f>
        <v>te:r</v>
      </c>
      <c r="F74" s="4" t="str">
        <f>VLOOKUP(F75,Vocabulary!$A:$B,2,FALSE)</f>
        <v>pæ:</v>
      </c>
      <c r="G74" s="4" t="str">
        <f>VLOOKUP(G75,Vocabulary!$A:$B,2,FALSE)</f>
        <v xml:space="preserve"> -n</v>
      </c>
      <c r="N74" s="5"/>
    </row>
    <row r="75" spans="1:15" x14ac:dyDescent="0.25">
      <c r="A75" s="4">
        <v>11</v>
      </c>
      <c r="B75" s="9" t="s">
        <v>457</v>
      </c>
      <c r="C75" s="9" t="s">
        <v>460</v>
      </c>
      <c r="D75" s="9" t="s">
        <v>379</v>
      </c>
      <c r="E75" s="9" t="s">
        <v>491</v>
      </c>
      <c r="F75" s="9" t="s">
        <v>386</v>
      </c>
      <c r="G75" s="9" t="s">
        <v>1305</v>
      </c>
      <c r="N75" s="5"/>
      <c r="O75" s="5"/>
    </row>
    <row r="76" spans="1:15" x14ac:dyDescent="0.25">
      <c r="B76" s="58" t="s">
        <v>462</v>
      </c>
      <c r="C76" s="58"/>
      <c r="D76" s="58"/>
      <c r="E76" s="58"/>
      <c r="F76" s="58"/>
      <c r="N76" s="5"/>
    </row>
    <row r="77" spans="1:15" x14ac:dyDescent="0.25">
      <c r="N77" s="5"/>
      <c r="O77" s="5"/>
    </row>
    <row r="78" spans="1:15" x14ac:dyDescent="0.25">
      <c r="B78" s="4" t="str">
        <f>VLOOKUP(B79,Vocabulary!$A:$B,2,FALSE)</f>
        <v>minij</v>
      </c>
      <c r="C78" s="4" t="str">
        <f>VLOOKUP(D79,Vocabulary!$A:$B,2,FALSE)</f>
        <v>kar</v>
      </c>
      <c r="D78" s="4" t="str">
        <f>VLOOKUP(E79,Vocabulary!$A:$B,2,FALSE)</f>
        <v>ʃɪɾe:</v>
      </c>
      <c r="E78" s="4" t="str">
        <f>VLOOKUP(F79,Vocabulary!$A:$B,2,FALSE)</f>
        <v xml:space="preserve"> -n</v>
      </c>
      <c r="F78" s="4" t="str">
        <f>VLOOKUP(G79,Vocabulary!$A:$B,2,FALSE)</f>
        <v>te:r</v>
      </c>
      <c r="G78" s="4" t="str">
        <f>VLOOKUP(H79,Vocabulary!$A:$B,2,FALSE)</f>
        <v>pæ:</v>
      </c>
      <c r="H78" s="4" t="str">
        <f>VLOOKUP(H79,Vocabulary!$A:$B,2,FALSE)</f>
        <v>pæ:</v>
      </c>
      <c r="I78" s="4" t="str">
        <f>VLOOKUP(I79,Vocabulary!$A:$B,2,FALSE)</f>
        <v xml:space="preserve"> -n</v>
      </c>
      <c r="N78" s="5"/>
    </row>
    <row r="79" spans="1:15" x14ac:dyDescent="0.25">
      <c r="A79" s="4">
        <v>12</v>
      </c>
      <c r="B79" s="9" t="s">
        <v>1111</v>
      </c>
      <c r="C79" s="9" t="s">
        <v>463</v>
      </c>
      <c r="D79" s="9" t="s">
        <v>464</v>
      </c>
      <c r="E79" s="9" t="s">
        <v>460</v>
      </c>
      <c r="F79" s="9" t="s">
        <v>465</v>
      </c>
      <c r="G79" s="9" t="s">
        <v>491</v>
      </c>
      <c r="H79" s="9" t="s">
        <v>386</v>
      </c>
      <c r="I79" s="9" t="s">
        <v>1305</v>
      </c>
      <c r="N79" s="5"/>
    </row>
    <row r="80" spans="1:15" x14ac:dyDescent="0.25">
      <c r="B80" s="58" t="str">
        <f>IF(D79 = "left", "My left hand is on the table.", "My right hand is on the table.")</f>
        <v>My left hand is on the table.</v>
      </c>
      <c r="C80" s="58"/>
      <c r="D80" s="58"/>
      <c r="E80" s="58"/>
      <c r="N80" s="5"/>
    </row>
    <row r="81" spans="1:15" x14ac:dyDescent="0.25">
      <c r="N81" s="5"/>
      <c r="O81" s="5"/>
    </row>
    <row r="82" spans="1:15" x14ac:dyDescent="0.25">
      <c r="B82" s="4" t="str">
        <f>VLOOKUP(B83,Vocabulary!$A:$B,2,FALSE)</f>
        <v>paɬɔ:r</v>
      </c>
      <c r="C82" s="4" t="str">
        <f>VLOOKUP(C83,Vocabulary!$A:$B,2,FALSE)</f>
        <v>ʊʦɨk</v>
      </c>
      <c r="D82" s="4" t="str">
        <f>VLOOKUP(D83,Vocabulary!$A:$B,2,FALSE)</f>
        <v xml:space="preserve"> -ni</v>
      </c>
      <c r="E82" s="4" t="str">
        <f>VLOOKUP(E83,Vocabulary!$A:$B,2,FALSE)</f>
        <v>ʦu:n</v>
      </c>
      <c r="F82" s="4" t="str">
        <f>VLOOKUP(F83,Vocabulary!$A:$B,2,FALSE)</f>
        <v>taɬ</v>
      </c>
      <c r="G82" s="4" t="str">
        <f>VLOOKUP(G83,Vocabulary!$A:$B,2,FALSE)</f>
        <v xml:space="preserve"> -t</v>
      </c>
      <c r="H82" s="4" t="str">
        <f>VLOOKUP(H83,Vocabulary!$A:$B,2,FALSE)</f>
        <v>pæ:</v>
      </c>
      <c r="I82" s="4" t="str">
        <f>VLOOKUP(I83,Vocabulary!$A:$B,2,FALSE)</f>
        <v xml:space="preserve"> -n</v>
      </c>
      <c r="N82" s="5"/>
      <c r="O82" s="5"/>
    </row>
    <row r="83" spans="1:15" x14ac:dyDescent="0.25">
      <c r="A83" s="4">
        <v>13</v>
      </c>
      <c r="B83" s="9" t="s">
        <v>457</v>
      </c>
      <c r="C83" s="9" t="s">
        <v>458</v>
      </c>
      <c r="D83" s="9" t="s">
        <v>374</v>
      </c>
      <c r="E83" s="9" t="s">
        <v>463</v>
      </c>
      <c r="F83" s="9" t="s">
        <v>422</v>
      </c>
      <c r="G83" s="9" t="s">
        <v>418</v>
      </c>
      <c r="H83" s="9" t="s">
        <v>386</v>
      </c>
      <c r="I83" s="9" t="s">
        <v>1305</v>
      </c>
      <c r="N83" s="5"/>
    </row>
    <row r="84" spans="1:15" x14ac:dyDescent="0.25">
      <c r="B84" s="58" t="s">
        <v>469</v>
      </c>
      <c r="C84" s="58"/>
      <c r="D84" s="58"/>
      <c r="E84" s="58"/>
      <c r="F84" s="58"/>
      <c r="G84" s="58"/>
      <c r="H84" s="58"/>
      <c r="N84" s="5"/>
    </row>
    <row r="85" spans="1:15" x14ac:dyDescent="0.25">
      <c r="N85" s="5"/>
    </row>
    <row r="86" spans="1:15" x14ac:dyDescent="0.25">
      <c r="B86" s="4" t="str">
        <f>VLOOKUP(B87,Vocabulary!$A:$B,2,FALSE)</f>
        <v>ʊʦɨk</v>
      </c>
      <c r="C86" s="4" t="str">
        <f>VLOOKUP(C87,Vocabulary!$A:$B,2,FALSE)</f>
        <v>paɬɔ:r</v>
      </c>
      <c r="D86" s="4" t="str">
        <f>VLOOKUP(D87,Vocabulary!$A:$B,2,FALSE)</f>
        <v xml:space="preserve"> -ni</v>
      </c>
      <c r="E86" s="4" t="str">
        <f>VLOOKUP(E87,Vocabulary!$A:$B,2,FALSE)</f>
        <v>paɬo:r</v>
      </c>
      <c r="F86" s="4" t="str">
        <f>VLOOKUP(F87,Vocabulary!$A:$B,2,FALSE)</f>
        <v>taɬ</v>
      </c>
      <c r="G86" s="4" t="str">
        <f>VLOOKUP(G87,Vocabulary!$A:$B,2,FALSE)</f>
        <v xml:space="preserve"> -t</v>
      </c>
      <c r="H86" s="4" t="str">
        <f>VLOOKUP(H87,Vocabulary!$A:$B,2,FALSE)</f>
        <v>pæ:</v>
      </c>
      <c r="I86" s="4" t="str">
        <f>VLOOKUP(I87,Vocabulary!$A:$B,2,FALSE)</f>
        <v xml:space="preserve"> -n</v>
      </c>
      <c r="N86" s="5"/>
      <c r="O86" s="5"/>
    </row>
    <row r="87" spans="1:15" x14ac:dyDescent="0.25">
      <c r="A87" s="4">
        <v>14</v>
      </c>
      <c r="B87" s="9" t="s">
        <v>458</v>
      </c>
      <c r="C87" s="9" t="s">
        <v>457</v>
      </c>
      <c r="D87" s="9" t="s">
        <v>374</v>
      </c>
      <c r="E87" s="9" t="s">
        <v>468</v>
      </c>
      <c r="F87" s="9" t="s">
        <v>422</v>
      </c>
      <c r="G87" s="9" t="s">
        <v>418</v>
      </c>
      <c r="H87" s="9" t="s">
        <v>386</v>
      </c>
      <c r="I87" s="9" t="s">
        <v>1305</v>
      </c>
      <c r="N87" s="5"/>
      <c r="O87" s="5"/>
    </row>
    <row r="88" spans="1:15" x14ac:dyDescent="0.25">
      <c r="B88" s="58" t="s">
        <v>470</v>
      </c>
      <c r="C88" s="58"/>
      <c r="D88" s="58"/>
      <c r="E88" s="58"/>
      <c r="N88" s="5"/>
    </row>
    <row r="89" spans="1:15" x14ac:dyDescent="0.25">
      <c r="N89" s="5"/>
    </row>
    <row r="90" spans="1:15" x14ac:dyDescent="0.25">
      <c r="B90" s="14" t="str">
        <f>VLOOKUP(B91,Vocabulary!$A:$B,2,FALSE)</f>
        <v>san fransisko</v>
      </c>
      <c r="C90" s="4" t="str">
        <f>VLOOKUP(C91,Vocabulary!$A:$B,2,FALSE)</f>
        <v>san xoze</v>
      </c>
      <c r="D90" s="4" t="str">
        <f>VLOOKUP(D91,Vocabulary!$A:$B,2,FALSE)</f>
        <v xml:space="preserve"> -n</v>
      </c>
      <c r="E90" s="4" t="str">
        <f>VLOOKUP(E91,Vocabulary!$A:$B,2,FALSE)</f>
        <v>xɶ:</v>
      </c>
      <c r="F90" s="4" t="str">
        <f>VLOOKUP(F91,Vocabulary!$A:$B,2,FALSE)</f>
        <v xml:space="preserve"> -t</v>
      </c>
      <c r="G90" s="4" t="str">
        <f>VLOOKUP(G91,Vocabulary!$A:$B,2,FALSE)</f>
        <v>ʦuk</v>
      </c>
      <c r="H90" s="4" t="str">
        <f>VLOOKUP(H91,Vocabulary!$A:$B,2,FALSE)</f>
        <v xml:space="preserve"> -t</v>
      </c>
      <c r="I90" s="4" t="str">
        <f>VLOOKUP(I91,Vocabulary!$A:$B,2,FALSE)</f>
        <v>pæ:</v>
      </c>
      <c r="J90" s="4" t="str">
        <f>VLOOKUP(J91,Vocabulary!$A:$B,2,FALSE)</f>
        <v xml:space="preserve"> -tɨk</v>
      </c>
      <c r="N90" s="5"/>
    </row>
    <row r="91" spans="1:15" x14ac:dyDescent="0.25">
      <c r="A91" s="4">
        <v>15</v>
      </c>
      <c r="B91" s="9" t="s">
        <v>471</v>
      </c>
      <c r="C91" s="9" t="s">
        <v>473</v>
      </c>
      <c r="D91" s="9" t="s">
        <v>379</v>
      </c>
      <c r="E91" s="9" t="s">
        <v>482</v>
      </c>
      <c r="F91" s="9" t="s">
        <v>418</v>
      </c>
      <c r="G91" s="9" t="s">
        <v>485</v>
      </c>
      <c r="H91" s="9" t="s">
        <v>418</v>
      </c>
      <c r="I91" s="9" t="s">
        <v>386</v>
      </c>
      <c r="J91" s="9" t="s">
        <v>1226</v>
      </c>
      <c r="N91" s="5"/>
    </row>
    <row r="92" spans="1:15" x14ac:dyDescent="0.25">
      <c r="B92" s="58" t="s">
        <v>489</v>
      </c>
      <c r="C92" s="58"/>
      <c r="D92" s="58"/>
      <c r="N92" s="5"/>
    </row>
    <row r="93" spans="1:15" x14ac:dyDescent="0.25">
      <c r="N93" s="5"/>
      <c r="O93" s="5"/>
    </row>
    <row r="94" spans="1:15" x14ac:dyDescent="0.25">
      <c r="B94" s="14" t="str">
        <f>VLOOKUP(B95,Vocabulary!$A:$B,2,FALSE)</f>
        <v>san fransisko</v>
      </c>
      <c r="C94" s="4" t="str">
        <f>VLOOKUP(C95,Vocabulary!$A:$B,2,FALSE)</f>
        <v>san xoze</v>
      </c>
      <c r="D94" s="4" t="str">
        <f>VLOOKUP(D95,Vocabulary!$A:$B,2,FALSE)</f>
        <v xml:space="preserve"> -n</v>
      </c>
      <c r="E94" s="4" t="str">
        <f>VLOOKUP(E95,Vocabulary!$A:$B,2,FALSE)</f>
        <v>xɶ:</v>
      </c>
      <c r="F94" s="4" t="str">
        <f>VLOOKUP(F95,Vocabulary!$A:$B,2,FALSE)</f>
        <v xml:space="preserve"> -t</v>
      </c>
      <c r="G94" s="4" t="str">
        <f>VLOOKUP(G95,Vocabulary!$A:$B,2,FALSE)</f>
        <v>ʦuk</v>
      </c>
      <c r="H94" s="4" t="str">
        <f>VLOOKUP(H95,Vocabulary!$A:$B,2,FALSE)</f>
        <v xml:space="preserve"> -t</v>
      </c>
      <c r="I94" s="4" t="str">
        <f>VLOOKUP(I95,Vocabulary!$A:$B,2,FALSE)</f>
        <v>pærɬ(a)</v>
      </c>
      <c r="J94" s="4" t="str">
        <f>VLOOKUP(J95,Vocabulary!$A:$B,2,FALSE)</f>
        <v xml:space="preserve"> -tɨk</v>
      </c>
      <c r="N94" s="5"/>
      <c r="O94" s="5"/>
    </row>
    <row r="95" spans="1:15" x14ac:dyDescent="0.25">
      <c r="A95" s="4">
        <v>16</v>
      </c>
      <c r="B95" s="9" t="s">
        <v>471</v>
      </c>
      <c r="C95" s="9" t="s">
        <v>473</v>
      </c>
      <c r="D95" s="9" t="s">
        <v>379</v>
      </c>
      <c r="E95" s="9" t="s">
        <v>482</v>
      </c>
      <c r="F95" s="9" t="s">
        <v>418</v>
      </c>
      <c r="G95" s="9" t="s">
        <v>485</v>
      </c>
      <c r="H95" s="9" t="s">
        <v>418</v>
      </c>
      <c r="I95" s="16" t="s">
        <v>947</v>
      </c>
      <c r="J95" s="16" t="s">
        <v>1226</v>
      </c>
      <c r="K95" s="9"/>
      <c r="N95" s="5"/>
      <c r="O95" s="5"/>
    </row>
    <row r="96" spans="1:15" x14ac:dyDescent="0.25">
      <c r="B96" s="58" t="s">
        <v>490</v>
      </c>
      <c r="C96" s="58"/>
      <c r="D96" s="58"/>
      <c r="E96" s="58"/>
      <c r="F96" s="58"/>
      <c r="G96" s="58"/>
      <c r="N96" s="5"/>
      <c r="O96" s="5"/>
    </row>
    <row r="97" spans="1:15" x14ac:dyDescent="0.25">
      <c r="N97" s="5"/>
      <c r="O97" s="5"/>
    </row>
    <row r="98" spans="1:15" x14ac:dyDescent="0.25">
      <c r="B98" s="14" t="str">
        <f>VLOOKUP(B99,Vocabulary!$A:$B,2,FALSE)</f>
        <v>san fransisko</v>
      </c>
      <c r="C98" s="4" t="str">
        <f>VLOOKUP(C99,Vocabulary!$A:$B,2,FALSE)</f>
        <v>san xoze</v>
      </c>
      <c r="D98" s="4" t="str">
        <f>VLOOKUP(D99,Vocabulary!$A:$B,2,FALSE)</f>
        <v xml:space="preserve"> -n</v>
      </c>
      <c r="E98" s="4" t="str">
        <f>VLOOKUP(E99,Vocabulary!$A:$B,2,FALSE)</f>
        <v>te:r</v>
      </c>
      <c r="F98" s="4" t="str">
        <f>VLOOKUP(F99,Vocabulary!$A:$B,2,FALSE)</f>
        <v>pæ:</v>
      </c>
      <c r="G98" s="4" t="str">
        <f>VLOOKUP(G99,Vocabulary!$A:$B,2,FALSE)</f>
        <v xml:space="preserve"> -tɨk</v>
      </c>
      <c r="N98" s="5"/>
      <c r="O98" s="5"/>
    </row>
    <row r="99" spans="1:15" x14ac:dyDescent="0.25">
      <c r="A99" s="4">
        <v>17</v>
      </c>
      <c r="B99" s="9" t="s">
        <v>471</v>
      </c>
      <c r="C99" s="9" t="s">
        <v>473</v>
      </c>
      <c r="D99" s="9" t="s">
        <v>465</v>
      </c>
      <c r="E99" s="9" t="s">
        <v>491</v>
      </c>
      <c r="F99" s="9" t="s">
        <v>386</v>
      </c>
      <c r="G99" s="9" t="s">
        <v>1226</v>
      </c>
      <c r="N99" s="5"/>
      <c r="O99" s="5"/>
    </row>
    <row r="100" spans="1:15" x14ac:dyDescent="0.25">
      <c r="B100" s="58" t="s">
        <v>493</v>
      </c>
      <c r="C100" s="58"/>
      <c r="D100" s="58"/>
      <c r="E100" s="58"/>
      <c r="F100" s="58" t="s">
        <v>494</v>
      </c>
      <c r="G100" s="58"/>
      <c r="H100" s="58"/>
      <c r="N100" s="5"/>
      <c r="O100" s="5"/>
    </row>
    <row r="101" spans="1:15" x14ac:dyDescent="0.25">
      <c r="N101" s="5"/>
    </row>
    <row r="102" spans="1:15" x14ac:dyDescent="0.25">
      <c r="B102" s="4" t="str">
        <f>VLOOKUP(B103,Vocabulary!$A:$B,2,FALSE)</f>
        <v>san xoze</v>
      </c>
      <c r="C102" s="14" t="str">
        <f>VLOOKUP(C103,Vocabulary!$A:$B,2,FALSE)</f>
        <v>san fransisko</v>
      </c>
      <c r="D102" s="4" t="str">
        <f>VLOOKUP(D103,Vocabulary!$A:$B,2,FALSE)</f>
        <v xml:space="preserve"> -kin</v>
      </c>
      <c r="E102" s="4" t="str">
        <f>VLOOKUP(E103,Vocabulary!$A:$B,2,FALSE)</f>
        <v>ɔrt</v>
      </c>
      <c r="F102" s="4" t="str">
        <f>VLOOKUP(F103,Vocabulary!$A:$B,2,FALSE)</f>
        <v>ʦuk</v>
      </c>
      <c r="G102" s="15" t="str">
        <f>VLOOKUP(G103,Vocabulary!$A:$B,2,FALSE)</f>
        <v xml:space="preserve"> -t</v>
      </c>
      <c r="H102" s="4" t="str">
        <f>VLOOKUP(H103,Vocabulary!$A:$B,2,FALSE)</f>
        <v>pæ:</v>
      </c>
      <c r="I102" s="4" t="str">
        <f>VLOOKUP(I103,Vocabulary!$A:$B,2,FALSE)</f>
        <v xml:space="preserve"> -tɨk</v>
      </c>
      <c r="N102" s="5"/>
    </row>
    <row r="103" spans="1:15" x14ac:dyDescent="0.25">
      <c r="A103" s="4">
        <v>18</v>
      </c>
      <c r="B103" s="9" t="s">
        <v>473</v>
      </c>
      <c r="C103" s="9" t="s">
        <v>471</v>
      </c>
      <c r="D103" s="9" t="s">
        <v>375</v>
      </c>
      <c r="E103" s="9" t="s">
        <v>393</v>
      </c>
      <c r="F103" s="9" t="s">
        <v>485</v>
      </c>
      <c r="G103" s="9" t="s">
        <v>418</v>
      </c>
      <c r="H103" s="4" t="s">
        <v>386</v>
      </c>
      <c r="I103" s="4" t="s">
        <v>1226</v>
      </c>
      <c r="N103" s="5"/>
    </row>
    <row r="104" spans="1:15" x14ac:dyDescent="0.25">
      <c r="B104" s="58" t="s">
        <v>500</v>
      </c>
      <c r="C104" s="58"/>
      <c r="D104" s="58"/>
      <c r="E104" s="58"/>
      <c r="F104" s="13"/>
      <c r="G104" s="58" t="s">
        <v>494</v>
      </c>
      <c r="H104" s="58"/>
      <c r="I104" s="58"/>
      <c r="N104" s="5"/>
    </row>
    <row r="105" spans="1:15" x14ac:dyDescent="0.25">
      <c r="N105" s="5"/>
    </row>
    <row r="106" spans="1:15" x14ac:dyDescent="0.25">
      <c r="B106" s="4" t="str">
        <f>VLOOKUP(B107,Vocabulary!$A:$B,2,FALSE)</f>
        <v>xɶ:</v>
      </c>
      <c r="C106" s="4" t="str">
        <f>VLOOKUP(C107,Vocabulary!$A:$B,2,FALSE)</f>
        <v xml:space="preserve"> -t</v>
      </c>
      <c r="D106" s="4" t="str">
        <f>VLOOKUP(D107,Vocabulary!$A:$B,2,FALSE)</f>
        <v>pæʃɪŋ</v>
      </c>
      <c r="N106" s="5"/>
    </row>
    <row r="107" spans="1:15" x14ac:dyDescent="0.25">
      <c r="A107" s="4">
        <v>19</v>
      </c>
      <c r="B107" s="9" t="s">
        <v>482</v>
      </c>
      <c r="C107" s="9" t="s">
        <v>418</v>
      </c>
      <c r="D107" s="9" t="s">
        <v>498</v>
      </c>
      <c r="N107" s="5"/>
      <c r="O107" s="5"/>
    </row>
    <row r="108" spans="1:15" x14ac:dyDescent="0.25">
      <c r="B108" s="58" t="s">
        <v>499</v>
      </c>
      <c r="C108" s="58"/>
      <c r="D108" s="58"/>
      <c r="E108" s="58"/>
      <c r="N108" s="5"/>
    </row>
    <row r="109" spans="1:15" x14ac:dyDescent="0.25">
      <c r="N109" s="5"/>
      <c r="O109" s="5"/>
    </row>
    <row r="110" spans="1:15" x14ac:dyDescent="0.25">
      <c r="B110" s="4" t="str">
        <f>VLOOKUP(B111,Vocabulary!$A:$B,2,FALSE)</f>
        <v>minij</v>
      </c>
      <c r="C110" s="4" t="str">
        <f>VLOOKUP(D111,Vocabulary!$A:$B,2,FALSE)</f>
        <v>taɬ</v>
      </c>
      <c r="D110" s="4" t="str">
        <f>VLOOKUP(E111,Vocabulary!$A:$B,2,FALSE)</f>
        <v xml:space="preserve"> -t</v>
      </c>
      <c r="E110" s="4" t="str">
        <f>VLOOKUP(F111,Vocabulary!$A:$B,2,FALSE)</f>
        <v>ʃɪɾe:</v>
      </c>
      <c r="F110" s="4" t="str">
        <f>VLOOKUP(G111,Vocabulary!$A:$B,2,FALSE)</f>
        <v>pæ:</v>
      </c>
      <c r="G110" s="4" t="str">
        <f>VLOOKUP(G111,Vocabulary!$A:$B,2,FALSE)</f>
        <v>pæ:</v>
      </c>
      <c r="H110" s="15" t="str">
        <f>VLOOKUP(H111,Vocabulary!$A:$B,2,FALSE)</f>
        <v xml:space="preserve"> -n</v>
      </c>
      <c r="N110" s="5"/>
    </row>
    <row r="111" spans="1:15" x14ac:dyDescent="0.25">
      <c r="A111" s="4">
        <v>20</v>
      </c>
      <c r="B111" s="9" t="s">
        <v>1111</v>
      </c>
      <c r="C111" s="9" t="s">
        <v>393</v>
      </c>
      <c r="D111" s="9" t="s">
        <v>422</v>
      </c>
      <c r="E111" s="9" t="s">
        <v>418</v>
      </c>
      <c r="F111" s="9" t="s">
        <v>460</v>
      </c>
      <c r="G111" s="9" t="s">
        <v>386</v>
      </c>
      <c r="H111" s="9" t="s">
        <v>1305</v>
      </c>
      <c r="N111" s="5"/>
    </row>
    <row r="112" spans="1:15" x14ac:dyDescent="0.25">
      <c r="B112" s="58" t="s">
        <v>519</v>
      </c>
      <c r="C112" s="58"/>
      <c r="D112" s="58"/>
      <c r="E112" s="58"/>
      <c r="F112" s="58" t="s">
        <v>520</v>
      </c>
      <c r="G112" s="58"/>
      <c r="N112" s="5"/>
      <c r="O112" s="5"/>
    </row>
    <row r="113" spans="1:15" x14ac:dyDescent="0.25">
      <c r="N113" s="5"/>
    </row>
    <row r="114" spans="1:15" x14ac:dyDescent="0.25">
      <c r="B114" s="4" t="str">
        <f>VLOOKUP(B115,Vocabulary!$A:$B,2,FALSE)</f>
        <v>san xoze</v>
      </c>
      <c r="C114" s="4" t="str">
        <f>VLOOKUP(C115,Vocabulary!$A:$B,2,FALSE)</f>
        <v xml:space="preserve"> -n</v>
      </c>
      <c r="D114" s="4" t="str">
        <f>VLOOKUP(D115,Vocabulary!$A:$B,2,FALSE)</f>
        <v>paɬo:r</v>
      </c>
      <c r="E114" s="4" t="str">
        <f>VLOOKUP(E115,Vocabulary!$A:$B,2,FALSE)</f>
        <v>ʦuk</v>
      </c>
      <c r="F114" s="4" t="str">
        <f>VLOOKUP(F115,Vocabulary!$A:$B,2,FALSE)</f>
        <v xml:space="preserve"> -t</v>
      </c>
      <c r="G114" s="4" t="str">
        <f>VLOOKUP(G115,Vocabulary!$A:$B,2,FALSE)</f>
        <v>taɬæ</v>
      </c>
      <c r="H114" s="4" t="str">
        <f>VLOOKUP(H115,Vocabulary!$A:$B,2,FALSE)</f>
        <v>pæ:</v>
      </c>
      <c r="I114" s="4" t="str">
        <f>VLOOKUP(I115,Vocabulary!$A:$B,2,FALSE)</f>
        <v xml:space="preserve"> -tɨk</v>
      </c>
      <c r="N114" s="5"/>
      <c r="O114" s="5"/>
    </row>
    <row r="115" spans="1:15" x14ac:dyDescent="0.25">
      <c r="A115" s="4">
        <v>21</v>
      </c>
      <c r="B115" s="9" t="s">
        <v>473</v>
      </c>
      <c r="C115" s="9" t="s">
        <v>379</v>
      </c>
      <c r="D115" s="9" t="s">
        <v>468</v>
      </c>
      <c r="E115" s="9" t="s">
        <v>485</v>
      </c>
      <c r="F115" s="9" t="s">
        <v>418</v>
      </c>
      <c r="G115" s="9" t="s">
        <v>521</v>
      </c>
      <c r="H115" s="9" t="s">
        <v>386</v>
      </c>
      <c r="I115" s="9" t="s">
        <v>1226</v>
      </c>
      <c r="N115" s="5"/>
      <c r="O115" s="5"/>
    </row>
    <row r="116" spans="1:15" x14ac:dyDescent="0.25">
      <c r="B116" s="58" t="s">
        <v>522</v>
      </c>
      <c r="C116" s="58"/>
      <c r="D116" s="58"/>
      <c r="E116" s="60"/>
      <c r="F116" s="60"/>
      <c r="G116" s="58" t="s">
        <v>494</v>
      </c>
      <c r="H116" s="58"/>
      <c r="I116" s="58"/>
      <c r="N116" s="5"/>
    </row>
    <row r="117" spans="1:15" x14ac:dyDescent="0.25">
      <c r="B117" s="58" t="s">
        <v>523</v>
      </c>
      <c r="C117" s="58"/>
      <c r="D117" s="58"/>
      <c r="E117" s="58"/>
      <c r="F117" s="58"/>
      <c r="G117" s="58"/>
      <c r="N117" s="5"/>
    </row>
    <row r="118" spans="1:15" x14ac:dyDescent="0.25">
      <c r="N118" s="5"/>
      <c r="O118" s="5"/>
    </row>
    <row r="119" spans="1:15" x14ac:dyDescent="0.25">
      <c r="B119" s="65" t="s">
        <v>524</v>
      </c>
      <c r="C119" s="59"/>
      <c r="D119" s="59"/>
      <c r="E119" s="59"/>
      <c r="F119" s="59"/>
      <c r="G119" s="59"/>
      <c r="H119" s="59"/>
      <c r="I119" s="59"/>
      <c r="N119" s="5"/>
    </row>
    <row r="120" spans="1:15" x14ac:dyDescent="0.25">
      <c r="N120" s="5"/>
    </row>
    <row r="121" spans="1:15" x14ac:dyDescent="0.25">
      <c r="B121" s="4" t="str">
        <f>VLOOKUP(B122,Vocabulary!$A:$B,2,FALSE)</f>
        <v>pɑt</v>
      </c>
      <c r="C121" s="4" t="str">
        <f>VLOOKUP(C122,Vocabulary!$A:$B,2,FALSE)</f>
        <v>ʦɑɬɑ:</v>
      </c>
      <c r="D121" s="4" t="str">
        <f>VLOOKUP(D122,Vocabulary!$A:$B,2,FALSE)</f>
        <v xml:space="preserve"> -(ɪ)k</v>
      </c>
      <c r="E121" s="4" t="str">
        <f>VLOOKUP(E122,Vocabulary!$A:$B,2,FALSE)</f>
        <v>par(i)</v>
      </c>
      <c r="F121" s="4" t="str">
        <f>VLOOKUP(F122,Vocabulary!$A:$B,2,FALSE)</f>
        <v xml:space="preserve"> -saŋ</v>
      </c>
      <c r="N121" s="5"/>
    </row>
    <row r="122" spans="1:15" x14ac:dyDescent="0.25">
      <c r="A122" s="4">
        <v>22</v>
      </c>
      <c r="B122" s="9" t="s">
        <v>536</v>
      </c>
      <c r="C122" s="9" t="s">
        <v>537</v>
      </c>
      <c r="D122" s="9" t="s">
        <v>535</v>
      </c>
      <c r="E122" s="9" t="s">
        <v>538</v>
      </c>
      <c r="F122" s="25" t="s">
        <v>678</v>
      </c>
      <c r="N122" s="5"/>
    </row>
    <row r="123" spans="1:15" x14ac:dyDescent="0.25">
      <c r="B123" s="58" t="s">
        <v>544</v>
      </c>
      <c r="C123" s="58"/>
      <c r="D123" s="58"/>
      <c r="E123" s="58"/>
      <c r="F123" s="58"/>
      <c r="N123" s="5"/>
    </row>
    <row r="124" spans="1:15" x14ac:dyDescent="0.25">
      <c r="N124" s="5"/>
    </row>
    <row r="125" spans="1:15" x14ac:dyDescent="0.25">
      <c r="B125" s="4" t="str">
        <f>VLOOKUP(B126,Vocabulary!$A:$B,2,FALSE)</f>
        <v>ʦɑɬɑ:</v>
      </c>
      <c r="C125" s="4" t="str">
        <f>VLOOKUP(C126,Vocabulary!$A:$B,2,FALSE)</f>
        <v>pɑt</v>
      </c>
      <c r="D125" s="4" t="str">
        <f>VLOOKUP(D126,Vocabulary!$A:$B,2,FALSE)</f>
        <v xml:space="preserve"> -(ɪ)k</v>
      </c>
      <c r="E125" s="4" t="str">
        <f>VLOOKUP(E126,Vocabulary!$A:$B,2,FALSE)</f>
        <v>par(i)</v>
      </c>
      <c r="F125" s="4" t="str">
        <f>VLOOKUP(F126,Vocabulary!$A:$B,2,FALSE)</f>
        <v xml:space="preserve"> -β</v>
      </c>
      <c r="N125" s="5"/>
      <c r="O125" s="5"/>
    </row>
    <row r="126" spans="1:15" x14ac:dyDescent="0.25">
      <c r="A126" s="4">
        <v>23</v>
      </c>
      <c r="B126" s="9" t="s">
        <v>537</v>
      </c>
      <c r="C126" s="9" t="s">
        <v>536</v>
      </c>
      <c r="D126" s="9" t="s">
        <v>535</v>
      </c>
      <c r="E126" s="9" t="s">
        <v>538</v>
      </c>
      <c r="F126" s="9" t="s">
        <v>682</v>
      </c>
      <c r="N126" s="5"/>
      <c r="O126" s="5"/>
    </row>
    <row r="127" spans="1:15" x14ac:dyDescent="0.25">
      <c r="B127" s="60" t="s">
        <v>549</v>
      </c>
      <c r="C127" s="60"/>
      <c r="N127" s="5"/>
      <c r="O127" s="5"/>
    </row>
    <row r="128" spans="1:15" x14ac:dyDescent="0.25">
      <c r="N128" s="5"/>
    </row>
    <row r="129" spans="1:15" x14ac:dyDescent="0.25">
      <c r="B129" s="4" t="str">
        <f>VLOOKUP(B130,Vocabulary!$A:$B,2,FALSE)</f>
        <v>pɑt</v>
      </c>
      <c r="C129" s="4" t="str">
        <f>VLOOKUP(C130,Vocabulary!$A:$B,2,FALSE)</f>
        <v>jama:</v>
      </c>
      <c r="D129" s="4" t="str">
        <f>VLOOKUP(D130,Vocabulary!$A:$B,2,FALSE)</f>
        <v xml:space="preserve"> -(ɪ)k</v>
      </c>
      <c r="E129" s="4" t="str">
        <f>VLOOKUP(E130,Vocabulary!$A:$B,2,FALSE)</f>
        <v>par(i)</v>
      </c>
      <c r="F129" s="4" t="str">
        <f>VLOOKUP(F130,Vocabulary!$A:$B,2,FALSE)</f>
        <v xml:space="preserve"> -β</v>
      </c>
      <c r="N129" s="5"/>
    </row>
    <row r="130" spans="1:15" x14ac:dyDescent="0.25">
      <c r="A130" s="4">
        <v>24</v>
      </c>
      <c r="B130" s="9" t="s">
        <v>536</v>
      </c>
      <c r="C130" s="9" t="s">
        <v>543</v>
      </c>
      <c r="D130" s="9" t="s">
        <v>535</v>
      </c>
      <c r="E130" s="9" t="s">
        <v>538</v>
      </c>
      <c r="F130" s="9" t="s">
        <v>682</v>
      </c>
      <c r="N130" s="5"/>
      <c r="O130" s="5"/>
    </row>
    <row r="131" spans="1:15" x14ac:dyDescent="0.25">
      <c r="B131" s="58" t="s">
        <v>547</v>
      </c>
      <c r="C131" s="58"/>
      <c r="D131" s="58"/>
      <c r="E131" s="58" t="s">
        <v>548</v>
      </c>
      <c r="F131" s="58"/>
      <c r="N131" s="5"/>
    </row>
    <row r="132" spans="1:15" x14ac:dyDescent="0.25">
      <c r="N132" s="5"/>
    </row>
    <row r="133" spans="1:15" x14ac:dyDescent="0.25">
      <c r="B133" s="4" t="str">
        <f>VLOOKUP(B134,Vocabulary!$A:$B,2,FALSE)</f>
        <v>pɑt</v>
      </c>
      <c r="C133" s="4" t="str">
        <f>VLOOKUP(C134,Vocabulary!$A:$B,2,FALSE)</f>
        <v>jama:</v>
      </c>
      <c r="D133" s="4" t="str">
        <f>VLOOKUP(D134,Vocabulary!$A:$B,2,FALSE)</f>
        <v xml:space="preserve"> -(ɪ)k</v>
      </c>
      <c r="E133" s="4" t="str">
        <f>VLOOKUP(E134,Vocabulary!$A:$B,2,FALSE)</f>
        <v>kark(a)</v>
      </c>
      <c r="F133" s="15" t="str">
        <f>VLOOKUP(F134,Vocabulary!$A:$B,2,FALSE)</f>
        <v xml:space="preserve"> -β</v>
      </c>
      <c r="N133" s="5"/>
    </row>
    <row r="134" spans="1:15" x14ac:dyDescent="0.25">
      <c r="A134" s="4">
        <v>25</v>
      </c>
      <c r="B134" s="9" t="s">
        <v>536</v>
      </c>
      <c r="C134" s="9" t="s">
        <v>543</v>
      </c>
      <c r="D134" s="9" t="s">
        <v>535</v>
      </c>
      <c r="E134" s="21" t="s">
        <v>553</v>
      </c>
      <c r="F134" s="9" t="s">
        <v>682</v>
      </c>
      <c r="N134" s="5"/>
      <c r="O134" s="5"/>
    </row>
    <row r="135" spans="1:15" x14ac:dyDescent="0.25">
      <c r="B135" s="58" t="s">
        <v>554</v>
      </c>
      <c r="C135" s="58"/>
      <c r="D135" s="58"/>
      <c r="N135" s="5"/>
    </row>
    <row r="136" spans="1:15" x14ac:dyDescent="0.25">
      <c r="N136" s="5"/>
    </row>
    <row r="137" spans="1:15" x14ac:dyDescent="0.25">
      <c r="B137" s="4" t="str">
        <f>VLOOKUP(B138,Vocabulary!$A:$B,2,FALSE)</f>
        <v>X</v>
      </c>
      <c r="C137" s="4" t="str">
        <f>VLOOKUP(C138,Vocabulary!$A:$B,2,FALSE)</f>
        <v>Y</v>
      </c>
      <c r="D137" s="4" t="str">
        <f>VLOOKUP(D138,Vocabulary!$A:$B,2,FALSE)</f>
        <v xml:space="preserve"> -(ɪ)k</v>
      </c>
      <c r="E137" s="4" t="str">
        <f>VLOOKUP(E138,Vocabulary!$A:$B,2,FALSE)</f>
        <v>aɬ(a)</v>
      </c>
      <c r="F137" s="4" t="str">
        <f>VLOOKUP(F138,Vocabulary!$A:$B,2,FALSE)</f>
        <v xml:space="preserve"> -β</v>
      </c>
      <c r="N137" s="5"/>
    </row>
    <row r="138" spans="1:15" x14ac:dyDescent="0.25">
      <c r="A138" s="4">
        <v>26</v>
      </c>
      <c r="B138" s="12" t="s">
        <v>557</v>
      </c>
      <c r="C138" s="12" t="s">
        <v>558</v>
      </c>
      <c r="D138" s="12" t="s">
        <v>535</v>
      </c>
      <c r="E138" s="12" t="s">
        <v>559</v>
      </c>
      <c r="F138" s="12" t="s">
        <v>682</v>
      </c>
      <c r="N138" s="5"/>
    </row>
    <row r="139" spans="1:15" x14ac:dyDescent="0.25">
      <c r="B139" s="58" t="s">
        <v>561</v>
      </c>
      <c r="C139" s="58"/>
      <c r="N139" s="5"/>
    </row>
    <row r="140" spans="1:15" x14ac:dyDescent="0.25">
      <c r="N140" s="5"/>
    </row>
    <row r="141" spans="1:15" x14ac:dyDescent="0.25">
      <c r="B141" s="4" t="str">
        <f>VLOOKUP(B142,Vocabulary!$A:$B,2,FALSE)</f>
        <v>jama:</v>
      </c>
      <c r="C141" s="4" t="str">
        <f>VLOOKUP(C142,Vocabulary!$A:$B,2,FALSE)</f>
        <v>ux(ɪ)</v>
      </c>
      <c r="D141" s="4" t="str">
        <f>VLOOKUP(D142,Vocabulary!$A:$B,2,FALSE)</f>
        <v xml:space="preserve"> -ʧɨx</v>
      </c>
      <c r="E141" s="4" t="str">
        <f>VLOOKUP(E142,Vocabulary!$A:$B,2,FALSE)</f>
        <v xml:space="preserve"> -sɨŋ</v>
      </c>
      <c r="F141" s="4" t="str">
        <f>VLOOKUP(F142,Vocabulary!$A:$B,2,FALSE)</f>
        <v>pæ:</v>
      </c>
      <c r="G141" s="4" t="str">
        <f>VLOOKUP(G142,Vocabulary!$A:$B,2,FALSE)</f>
        <v xml:space="preserve"> -n</v>
      </c>
      <c r="N141" s="5"/>
    </row>
    <row r="142" spans="1:15" x14ac:dyDescent="0.25">
      <c r="A142" s="4">
        <v>27</v>
      </c>
      <c r="B142" s="12" t="s">
        <v>543</v>
      </c>
      <c r="C142" s="12" t="s">
        <v>565</v>
      </c>
      <c r="D142" s="23" t="s">
        <v>685</v>
      </c>
      <c r="E142" s="25" t="s">
        <v>679</v>
      </c>
      <c r="F142" s="12" t="s">
        <v>386</v>
      </c>
      <c r="G142" s="12" t="s">
        <v>1305</v>
      </c>
      <c r="N142" s="5"/>
      <c r="O142" s="5"/>
    </row>
    <row r="143" spans="1:15" x14ac:dyDescent="0.25">
      <c r="B143" s="58" t="s">
        <v>572</v>
      </c>
      <c r="C143" s="58"/>
      <c r="D143" s="58"/>
      <c r="N143" s="5"/>
      <c r="O143" s="5"/>
    </row>
    <row r="144" spans="1:15" x14ac:dyDescent="0.25">
      <c r="N144" s="5"/>
    </row>
    <row r="145" spans="1:15" x14ac:dyDescent="0.25">
      <c r="B145" s="4" t="str">
        <f>VLOOKUP(B146,Vocabulary!$A:$B,2,FALSE)</f>
        <v>mørø</v>
      </c>
      <c r="C145" s="4" t="str">
        <f>VLOOKUP(C146,Vocabulary!$A:$B,2,FALSE)</f>
        <v>tæβx(ɪ)</v>
      </c>
      <c r="D145" s="4" t="str">
        <f>VLOOKUP(D146,Vocabulary!$A:$B,2,FALSE)</f>
        <v xml:space="preserve"> -β</v>
      </c>
      <c r="N145" s="5"/>
    </row>
    <row r="146" spans="1:15" x14ac:dyDescent="0.25">
      <c r="A146" s="4">
        <v>28</v>
      </c>
      <c r="B146" s="12" t="s">
        <v>566</v>
      </c>
      <c r="C146" s="12" t="s">
        <v>570</v>
      </c>
      <c r="D146" s="12" t="s">
        <v>682</v>
      </c>
      <c r="N146" s="5"/>
    </row>
    <row r="147" spans="1:15" x14ac:dyDescent="0.25">
      <c r="B147" s="58" t="s">
        <v>573</v>
      </c>
      <c r="C147" s="58"/>
      <c r="D147" s="58"/>
      <c r="N147" s="5"/>
      <c r="O147" s="5"/>
    </row>
    <row r="148" spans="1:15" x14ac:dyDescent="0.25">
      <c r="N148" s="5"/>
      <c r="O148" s="5"/>
    </row>
    <row r="149" spans="1:15" x14ac:dyDescent="0.25">
      <c r="B149" s="4" t="str">
        <f>VLOOKUP(B150,Vocabulary!$A:$B,2,FALSE)</f>
        <v>jama:</v>
      </c>
      <c r="C149" s="4" t="str">
        <f>VLOOKUP(C150,Vocabulary!$A:$B,2,FALSE)</f>
        <v>kɥ(i)</v>
      </c>
      <c r="D149" s="4" t="str">
        <f>VLOOKUP(D150,Vocabulary!$A:$B,2,FALSE)</f>
        <v xml:space="preserve"> -β</v>
      </c>
      <c r="N149" s="5"/>
      <c r="O149" s="5"/>
    </row>
    <row r="150" spans="1:15" x14ac:dyDescent="0.25">
      <c r="A150" s="4">
        <v>29</v>
      </c>
      <c r="B150" s="12" t="s">
        <v>543</v>
      </c>
      <c r="C150" s="12" t="s">
        <v>569</v>
      </c>
      <c r="D150" s="12" t="s">
        <v>682</v>
      </c>
      <c r="N150" s="5"/>
    </row>
    <row r="151" spans="1:15" x14ac:dyDescent="0.25">
      <c r="B151" s="58" t="s">
        <v>574</v>
      </c>
      <c r="C151" s="58"/>
      <c r="D151" s="58"/>
      <c r="N151" s="5"/>
      <c r="O151" s="5"/>
    </row>
    <row r="152" spans="1:15" x14ac:dyDescent="0.25">
      <c r="N152" s="5"/>
    </row>
    <row r="153" spans="1:15" x14ac:dyDescent="0.25">
      <c r="B153" s="4" t="str">
        <f>VLOOKUP(B154,Vocabulary!$A:$B,2,FALSE)</f>
        <v>jama:</v>
      </c>
      <c r="C153" s="4" t="str">
        <f>VLOOKUP(C154,Vocabulary!$A:$B,2,FALSE)</f>
        <v>ɔn(a)</v>
      </c>
      <c r="D153" s="4" t="str">
        <f>VLOOKUP(D154,Vocabulary!$A:$B,2,FALSE)</f>
        <v xml:space="preserve"> -β</v>
      </c>
      <c r="N153" s="5"/>
      <c r="O153" s="5"/>
    </row>
    <row r="154" spans="1:15" x14ac:dyDescent="0.25">
      <c r="A154" s="4">
        <v>30</v>
      </c>
      <c r="B154" s="12" t="s">
        <v>543</v>
      </c>
      <c r="C154" s="12" t="s">
        <v>575</v>
      </c>
      <c r="D154" s="12" t="s">
        <v>682</v>
      </c>
      <c r="N154" s="5"/>
      <c r="O154" s="5"/>
    </row>
    <row r="155" spans="1:15" x14ac:dyDescent="0.25">
      <c r="B155" s="58" t="s">
        <v>577</v>
      </c>
      <c r="C155" s="58"/>
      <c r="D155" s="58"/>
      <c r="N155" s="5"/>
    </row>
    <row r="156" spans="1:15" x14ac:dyDescent="0.25">
      <c r="N156" s="5"/>
    </row>
    <row r="157" spans="1:15" x14ac:dyDescent="0.25">
      <c r="B157" s="4" t="str">
        <f>VLOOKUP(B158,Vocabulary!$A:$B,2,FALSE)</f>
        <v>jama:</v>
      </c>
      <c r="C157" s="4" t="str">
        <f>VLOOKUP(C158,Vocabulary!$A:$B,2,FALSE)</f>
        <v>ɔn(a)</v>
      </c>
      <c r="D157" s="4" t="str">
        <f>VLOOKUP(D158,Vocabulary!$A:$B,2,FALSE)</f>
        <v xml:space="preserve"> -ʧax</v>
      </c>
      <c r="E157" s="4" t="str">
        <f>VLOOKUP(E158,Vocabulary!$A:$B,2,FALSE)</f>
        <v xml:space="preserve"> -saŋ</v>
      </c>
      <c r="F157" s="4" t="str">
        <f>VLOOKUP(F158,Vocabulary!$A:$B,2,FALSE)</f>
        <v>pæ:</v>
      </c>
      <c r="G157" s="4" t="str">
        <f>VLOOKUP(G158,Vocabulary!$A:$B,2,FALSE)</f>
        <v xml:space="preserve"> -n</v>
      </c>
      <c r="N157" s="5"/>
      <c r="O157" s="5"/>
    </row>
    <row r="158" spans="1:15" x14ac:dyDescent="0.25">
      <c r="A158" s="4">
        <v>31</v>
      </c>
      <c r="B158" s="12" t="s">
        <v>543</v>
      </c>
      <c r="C158" s="12" t="s">
        <v>575</v>
      </c>
      <c r="D158" s="12" t="s">
        <v>686</v>
      </c>
      <c r="E158" s="12" t="s">
        <v>678</v>
      </c>
      <c r="F158" s="12" t="s">
        <v>386</v>
      </c>
      <c r="G158" s="12" t="s">
        <v>1305</v>
      </c>
      <c r="N158" s="5"/>
    </row>
    <row r="159" spans="1:15" x14ac:dyDescent="0.25">
      <c r="B159" s="58" t="s">
        <v>579</v>
      </c>
      <c r="C159" s="58"/>
      <c r="D159" s="58"/>
      <c r="N159" s="5"/>
    </row>
    <row r="160" spans="1:15" x14ac:dyDescent="0.25">
      <c r="N160" s="5"/>
    </row>
    <row r="161" spans="1:15" x14ac:dyDescent="0.25">
      <c r="B161" s="4" t="str">
        <f>VLOOKUP(B162,Vocabulary!$A:$B,2,FALSE)</f>
        <v>jama:</v>
      </c>
      <c r="C161" s="4" t="str">
        <f>VLOOKUP(C162,Vocabulary!$A:$B,2,FALSE)</f>
        <v>it(ɪ)</v>
      </c>
      <c r="D161" s="4" t="str">
        <f>VLOOKUP(D162,Vocabulary!$A:$B,2,FALSE)</f>
        <v xml:space="preserve"> -β</v>
      </c>
      <c r="N161" s="5"/>
    </row>
    <row r="162" spans="1:15" x14ac:dyDescent="0.25">
      <c r="A162" s="4">
        <v>32</v>
      </c>
      <c r="B162" s="12" t="s">
        <v>543</v>
      </c>
      <c r="C162" s="12" t="s">
        <v>580</v>
      </c>
      <c r="D162" s="12" t="s">
        <v>682</v>
      </c>
      <c r="N162" s="5"/>
      <c r="O162" s="5"/>
    </row>
    <row r="163" spans="1:15" x14ac:dyDescent="0.25">
      <c r="B163" s="58" t="s">
        <v>581</v>
      </c>
      <c r="C163" s="58"/>
      <c r="D163" s="60" t="s">
        <v>583</v>
      </c>
      <c r="E163" s="60"/>
      <c r="F163" s="60"/>
      <c r="G163" s="60"/>
      <c r="H163" s="60"/>
      <c r="I163" s="60"/>
      <c r="N163" s="5"/>
    </row>
    <row r="164" spans="1:15" x14ac:dyDescent="0.25">
      <c r="N164" s="5"/>
      <c r="O164" s="5"/>
    </row>
    <row r="165" spans="1:15" x14ac:dyDescent="0.25">
      <c r="B165" s="4" t="str">
        <f>VLOOKUP(B166,Vocabulary!$A:$B,2,FALSE)</f>
        <v>pi</v>
      </c>
      <c r="C165" s="4" t="str">
        <f>VLOOKUP(C166,Vocabulary!$A:$B,2,FALSE)</f>
        <v>jama:</v>
      </c>
      <c r="D165" s="4" t="str">
        <f>VLOOKUP(D166,Vocabulary!$A:$B,2,FALSE)</f>
        <v>it(ɪ)</v>
      </c>
      <c r="E165" s="4" t="str">
        <f>VLOOKUP(E166,Vocabulary!$A:$B,2,FALSE)</f>
        <v xml:space="preserve"> -β</v>
      </c>
      <c r="N165" s="5"/>
      <c r="O165" s="5"/>
    </row>
    <row r="166" spans="1:15" x14ac:dyDescent="0.25">
      <c r="A166" s="4">
        <v>33</v>
      </c>
      <c r="B166" s="12" t="s">
        <v>932</v>
      </c>
      <c r="C166" s="12" t="s">
        <v>543</v>
      </c>
      <c r="D166" s="12" t="s">
        <v>580</v>
      </c>
      <c r="E166" s="12" t="s">
        <v>682</v>
      </c>
      <c r="N166" s="5"/>
      <c r="O166" s="5"/>
    </row>
    <row r="167" spans="1:15" x14ac:dyDescent="0.25">
      <c r="B167" s="11" t="s">
        <v>582</v>
      </c>
      <c r="C167" s="11"/>
      <c r="D167" s="11"/>
      <c r="E167" s="11"/>
      <c r="N167" s="5"/>
    </row>
    <row r="168" spans="1:15" x14ac:dyDescent="0.25">
      <c r="N168" s="5"/>
    </row>
    <row r="169" spans="1:15" x14ac:dyDescent="0.25">
      <c r="B169" s="4" t="str">
        <f>VLOOKUP(B170,Vocabulary!$A:$B,2,FALSE)</f>
        <v>pɑt</v>
      </c>
      <c r="C169" s="4" t="str">
        <f>VLOOKUP(C170,Vocabulary!$A:$B,2,FALSE)</f>
        <v>ʦɑɬɑ:</v>
      </c>
      <c r="D169" s="4" t="str">
        <f>VLOOKUP(D170,Vocabulary!$A:$B,2,FALSE)</f>
        <v xml:space="preserve"> -(ɪ)k</v>
      </c>
      <c r="E169" s="4" t="str">
        <f>VLOOKUP(E170,Vocabulary!$A:$B,2,FALSE)</f>
        <v>ʦʰəx(ɨ)</v>
      </c>
      <c r="F169" s="4" t="str">
        <f>VLOOKUP(F170,Vocabulary!$A:$B,2,FALSE)</f>
        <v xml:space="preserve"> -β</v>
      </c>
      <c r="N169" s="5"/>
    </row>
    <row r="170" spans="1:15" x14ac:dyDescent="0.25">
      <c r="A170" s="4">
        <v>34</v>
      </c>
      <c r="B170" s="12" t="s">
        <v>536</v>
      </c>
      <c r="C170" s="12" t="s">
        <v>537</v>
      </c>
      <c r="D170" s="12" t="s">
        <v>535</v>
      </c>
      <c r="E170" s="12" t="s">
        <v>584</v>
      </c>
      <c r="F170" s="12" t="s">
        <v>682</v>
      </c>
      <c r="N170" s="5"/>
    </row>
    <row r="171" spans="1:15" x14ac:dyDescent="0.25">
      <c r="B171" s="58" t="s">
        <v>586</v>
      </c>
      <c r="C171" s="58"/>
      <c r="D171" s="58"/>
      <c r="E171" s="58"/>
      <c r="N171" s="5"/>
    </row>
    <row r="172" spans="1:15" x14ac:dyDescent="0.25">
      <c r="N172" s="5"/>
      <c r="O172" s="5"/>
    </row>
    <row r="173" spans="1:15" x14ac:dyDescent="0.25">
      <c r="B173" s="4" t="str">
        <f>VLOOKUP(B174,Vocabulary!$A:$B,2,FALSE)</f>
        <v>pɑt</v>
      </c>
      <c r="C173" s="4" t="str">
        <f>VLOOKUP(C174,Vocabulary!$A:$B,2,FALSE)</f>
        <v>tu:ni:</v>
      </c>
      <c r="D173" s="4" t="str">
        <f>VLOOKUP(D174,Vocabulary!$A:$B,2,FALSE)</f>
        <v xml:space="preserve"> -(ɪ)k</v>
      </c>
      <c r="E173" s="4" t="str">
        <f>VLOOKUP(E174,Vocabulary!$A:$B,2,FALSE)</f>
        <v>ʦʰəx(ɨ)</v>
      </c>
      <c r="F173" s="4" t="str">
        <f>VLOOKUP(F174,Vocabulary!$A:$B,2,FALSE)</f>
        <v xml:space="preserve"> -β</v>
      </c>
      <c r="N173" s="5"/>
    </row>
    <row r="174" spans="1:15" x14ac:dyDescent="0.25">
      <c r="A174" s="4">
        <v>35</v>
      </c>
      <c r="B174" s="12" t="s">
        <v>536</v>
      </c>
      <c r="C174" s="12" t="s">
        <v>922</v>
      </c>
      <c r="D174" s="12" t="s">
        <v>535</v>
      </c>
      <c r="E174" s="12" t="s">
        <v>584</v>
      </c>
      <c r="F174" s="12" t="s">
        <v>682</v>
      </c>
      <c r="N174" s="5"/>
    </row>
    <row r="175" spans="1:15" x14ac:dyDescent="0.25">
      <c r="B175" s="58" t="s">
        <v>587</v>
      </c>
      <c r="C175" s="58"/>
      <c r="D175" s="58"/>
      <c r="E175" s="58"/>
      <c r="N175" s="5"/>
    </row>
    <row r="176" spans="1:15" x14ac:dyDescent="0.25">
      <c r="N176" s="5"/>
    </row>
    <row r="177" spans="1:15" x14ac:dyDescent="0.25">
      <c r="B177" s="4" t="str">
        <f>VLOOKUP(B178,Vocabulary!$A:$B,2,FALSE)</f>
        <v>pɑt</v>
      </c>
      <c r="C177" s="4" t="str">
        <f>VLOOKUP(C178,Vocabulary!$A:$B,2,FALSE)</f>
        <v>ʦɑɬɑ:</v>
      </c>
      <c r="D177" s="4" t="str">
        <f>VLOOKUP(D178,Vocabulary!$A:$B,2,FALSE)</f>
        <v xml:space="preserve"> -(ɪ)k</v>
      </c>
      <c r="E177" s="4" t="str">
        <f>VLOOKUP(E178,Vocabulary!$A:$B,2,FALSE)</f>
        <v>xar(a)</v>
      </c>
      <c r="F177" s="4" t="str">
        <f>VLOOKUP(F178,Vocabulary!$A:$B,2,FALSE)</f>
        <v xml:space="preserve"> -β</v>
      </c>
      <c r="N177" s="5"/>
    </row>
    <row r="178" spans="1:15" x14ac:dyDescent="0.25">
      <c r="A178" s="4">
        <v>36</v>
      </c>
      <c r="B178" s="12" t="s">
        <v>536</v>
      </c>
      <c r="C178" s="12" t="s">
        <v>537</v>
      </c>
      <c r="D178" s="12" t="s">
        <v>535</v>
      </c>
      <c r="E178" s="12" t="s">
        <v>588</v>
      </c>
      <c r="F178" s="12" t="s">
        <v>682</v>
      </c>
      <c r="N178" s="5"/>
    </row>
    <row r="179" spans="1:15" x14ac:dyDescent="0.25">
      <c r="B179" s="58" t="s">
        <v>590</v>
      </c>
      <c r="C179" s="58"/>
      <c r="D179" s="58"/>
      <c r="E179" s="58"/>
      <c r="N179" s="5"/>
      <c r="O179" s="5"/>
    </row>
    <row r="180" spans="1:15" x14ac:dyDescent="0.25">
      <c r="N180" s="5"/>
      <c r="O180" s="5"/>
    </row>
    <row r="181" spans="1:15" x14ac:dyDescent="0.25">
      <c r="B181" s="4" t="str">
        <f>VLOOKUP(B182,Vocabulary!$A:$B,2,FALSE)</f>
        <v>pɑt</v>
      </c>
      <c r="C181" s="4" t="str">
        <f>VLOOKUP(C182,Vocabulary!$A:$B,2,FALSE)</f>
        <v>o:ri:ko:</v>
      </c>
      <c r="D181" s="4" t="str">
        <f>VLOOKUP(D182,Vocabulary!$A:$B,2,FALSE)</f>
        <v>xar(a)</v>
      </c>
      <c r="E181" s="4" t="str">
        <f>VLOOKUP(E182,Vocabulary!$A:$B,2,FALSE)</f>
        <v xml:space="preserve"> -β</v>
      </c>
      <c r="N181" s="5"/>
    </row>
    <row r="182" spans="1:15" x14ac:dyDescent="0.25">
      <c r="A182" s="4">
        <v>37</v>
      </c>
      <c r="B182" s="22" t="s">
        <v>536</v>
      </c>
      <c r="C182" s="22" t="s">
        <v>591</v>
      </c>
      <c r="D182" s="22" t="s">
        <v>588</v>
      </c>
      <c r="E182" s="22" t="s">
        <v>682</v>
      </c>
      <c r="N182" s="5"/>
    </row>
    <row r="183" spans="1:15" x14ac:dyDescent="0.25">
      <c r="B183" s="58" t="s">
        <v>593</v>
      </c>
      <c r="C183" s="58"/>
      <c r="D183" s="58"/>
      <c r="E183" s="11" t="s">
        <v>594</v>
      </c>
      <c r="F183" s="11"/>
      <c r="N183" s="5"/>
    </row>
    <row r="184" spans="1:15" x14ac:dyDescent="0.25">
      <c r="N184" s="5"/>
    </row>
    <row r="185" spans="1:15" x14ac:dyDescent="0.25">
      <c r="B185" s="4" t="str">
        <f>VLOOKUP(B186,Vocabulary!$A:$B,2,FALSE)</f>
        <v>pɑt</v>
      </c>
      <c r="C185" s="4" t="str">
        <f>VLOOKUP(C186,Vocabulary!$A:$B,2,FALSE)</f>
        <v>ʦɑɬɑ:</v>
      </c>
      <c r="D185" s="4" t="str">
        <f>VLOOKUP(D186,Vocabulary!$A:$B,2,FALSE)</f>
        <v>xɑjər</v>
      </c>
      <c r="E185" s="4" t="str">
        <f>VLOOKUP(E186,Vocabulary!$A:$B,2,FALSE)</f>
        <v>pij</v>
      </c>
      <c r="F185" s="4" t="str">
        <f>VLOOKUP(F186,Vocabulary!$A:$B,2,FALSE)</f>
        <v>pij</v>
      </c>
      <c r="G185" s="4" t="str">
        <f>VLOOKUP(G186,Vocabulary!$A:$B,2,FALSE)</f>
        <v>ne:</v>
      </c>
      <c r="H185" s="4" t="str">
        <f>VLOOKUP(H186,Vocabulary!$A:$B,2,FALSE)</f>
        <v>xar(a)</v>
      </c>
      <c r="I185" s="4" t="str">
        <f>VLOOKUP(I186,Vocabulary!$A:$B,2,FALSE)</f>
        <v xml:space="preserve"> -β</v>
      </c>
      <c r="N185" s="5"/>
    </row>
    <row r="186" spans="1:15" x14ac:dyDescent="0.25">
      <c r="A186" s="4">
        <v>38</v>
      </c>
      <c r="B186" s="22" t="s">
        <v>536</v>
      </c>
      <c r="C186" s="22" t="s">
        <v>537</v>
      </c>
      <c r="D186" s="22" t="s">
        <v>410</v>
      </c>
      <c r="E186" s="22" t="s">
        <v>597</v>
      </c>
      <c r="F186" s="22" t="s">
        <v>597</v>
      </c>
      <c r="G186" s="22" t="s">
        <v>595</v>
      </c>
      <c r="H186" s="22" t="s">
        <v>588</v>
      </c>
      <c r="I186" s="22" t="s">
        <v>682</v>
      </c>
      <c r="N186" s="5"/>
    </row>
    <row r="187" spans="1:15" x14ac:dyDescent="0.25">
      <c r="B187" s="58" t="s">
        <v>598</v>
      </c>
      <c r="C187" s="58"/>
      <c r="D187" s="58"/>
      <c r="E187" s="58"/>
      <c r="F187" s="58"/>
      <c r="N187" s="5"/>
      <c r="O187" s="5"/>
    </row>
    <row r="188" spans="1:15" x14ac:dyDescent="0.25">
      <c r="N188" s="5"/>
    </row>
    <row r="189" spans="1:15" x14ac:dyDescent="0.25">
      <c r="B189" s="4" t="str">
        <f>VLOOKUP(B190,Vocabulary!$A:$B,2,FALSE)</f>
        <v>tʰɪt (nar)</v>
      </c>
      <c r="C189" s="4" t="str">
        <f>VLOOKUP(C190,Vocabulary!$A:$B,2,FALSE)</f>
        <v>pij</v>
      </c>
      <c r="D189" s="4" t="str">
        <f>VLOOKUP(D190,Vocabulary!$A:$B,2,FALSE)</f>
        <v>pij</v>
      </c>
      <c r="E189" s="4" t="str">
        <f>VLOOKUP(E190,Vocabulary!$A:$B,2,FALSE)</f>
        <v>ne:</v>
      </c>
      <c r="F189" s="4" t="str">
        <f>VLOOKUP(F190,Vocabulary!$A:$B,2,FALSE)</f>
        <v>xar(a)</v>
      </c>
      <c r="G189" s="4" t="str">
        <f>VLOOKUP(G190,Vocabulary!$A:$B,2,FALSE)</f>
        <v xml:space="preserve"> -β</v>
      </c>
      <c r="N189" s="5"/>
    </row>
    <row r="190" spans="1:15" x14ac:dyDescent="0.25">
      <c r="A190" s="4">
        <v>39</v>
      </c>
      <c r="B190" s="22" t="s">
        <v>599</v>
      </c>
      <c r="C190" s="22" t="s">
        <v>597</v>
      </c>
      <c r="D190" s="22" t="s">
        <v>597</v>
      </c>
      <c r="E190" s="22" t="s">
        <v>595</v>
      </c>
      <c r="F190" s="22" t="s">
        <v>588</v>
      </c>
      <c r="G190" s="22" t="s">
        <v>682</v>
      </c>
      <c r="N190" s="5"/>
    </row>
    <row r="191" spans="1:15" x14ac:dyDescent="0.25">
      <c r="B191" s="58" t="s">
        <v>602</v>
      </c>
      <c r="C191" s="58"/>
      <c r="D191" s="58"/>
      <c r="E191" s="58"/>
      <c r="N191" s="5"/>
      <c r="O191" s="5"/>
    </row>
    <row r="192" spans="1:15" x14ac:dyDescent="0.25">
      <c r="N192" s="5"/>
    </row>
    <row r="193" spans="1:15" x14ac:dyDescent="0.25">
      <c r="B193" s="4" t="str">
        <f>VLOOKUP(B194,Vocabulary!$A:$B,2,FALSE)</f>
        <v>pi</v>
      </c>
      <c r="C193" s="4" t="str">
        <f>VLOOKUP(C194,Vocabulary!$A:$B,2,FALSE)</f>
        <v>tʰɪt (nar)</v>
      </c>
      <c r="D193" s="4" t="str">
        <f>VLOOKUP(D194,Vocabulary!$A:$B,2,FALSE)</f>
        <v xml:space="preserve"> -(ɪ)k</v>
      </c>
      <c r="E193" s="4" t="str">
        <f>VLOOKUP(E194,Vocabulary!$A:$B,2,FALSE)</f>
        <v>xar(a)</v>
      </c>
      <c r="F193" s="4" t="str">
        <f>VLOOKUP(F194,Vocabulary!$A:$B,2,FALSE)</f>
        <v xml:space="preserve"> -β</v>
      </c>
      <c r="N193" s="5"/>
      <c r="O193" s="5"/>
    </row>
    <row r="194" spans="1:15" x14ac:dyDescent="0.25">
      <c r="A194" s="4">
        <v>40</v>
      </c>
      <c r="B194" s="22" t="s">
        <v>932</v>
      </c>
      <c r="C194" s="22" t="s">
        <v>599</v>
      </c>
      <c r="D194" s="22" t="s">
        <v>535</v>
      </c>
      <c r="E194" s="22" t="s">
        <v>588</v>
      </c>
      <c r="F194" s="22" t="s">
        <v>682</v>
      </c>
      <c r="N194" s="5"/>
    </row>
    <row r="195" spans="1:15" x14ac:dyDescent="0.25">
      <c r="B195" s="58" t="s">
        <v>603</v>
      </c>
      <c r="C195" s="58"/>
      <c r="D195" s="58"/>
      <c r="E195" s="58"/>
      <c r="N195" s="5"/>
    </row>
    <row r="196" spans="1:15" x14ac:dyDescent="0.25">
      <c r="N196" s="5"/>
    </row>
    <row r="197" spans="1:15" x14ac:dyDescent="0.25">
      <c r="B197" s="4" t="str">
        <f>VLOOKUP(B198,Vocabulary!$A:$B,2,FALSE)</f>
        <v>tʰɪt (nar)</v>
      </c>
      <c r="C197" s="4" t="str">
        <f>VLOOKUP(C198,Vocabulary!$A:$B,2,FALSE)</f>
        <v>namæ</v>
      </c>
      <c r="D197" s="4" t="str">
        <f>VLOOKUP(D198,Vocabulary!$A:$B,2,FALSE)</f>
        <v xml:space="preserve"> -(ɪ)k</v>
      </c>
      <c r="E197" s="4" t="str">
        <f>VLOOKUP(E198,Vocabulary!$A:$B,2,FALSE)</f>
        <v>xar(a)</v>
      </c>
      <c r="F197" s="4" t="str">
        <f>VLOOKUP(F198,Vocabulary!$A:$B,2,FALSE)</f>
        <v xml:space="preserve"> -β</v>
      </c>
      <c r="N197" s="5"/>
      <c r="O197" s="5"/>
    </row>
    <row r="198" spans="1:15" x14ac:dyDescent="0.25">
      <c r="A198" s="4">
        <v>41</v>
      </c>
      <c r="B198" s="22" t="s">
        <v>599</v>
      </c>
      <c r="C198" s="22" t="s">
        <v>919</v>
      </c>
      <c r="D198" s="44" t="s">
        <v>535</v>
      </c>
      <c r="E198" s="22" t="s">
        <v>588</v>
      </c>
      <c r="F198" s="22" t="s">
        <v>682</v>
      </c>
      <c r="N198" s="5"/>
    </row>
    <row r="199" spans="1:15" x14ac:dyDescent="0.25">
      <c r="B199" s="58" t="s">
        <v>605</v>
      </c>
      <c r="C199" s="58"/>
      <c r="D199" s="58"/>
      <c r="N199" s="5"/>
      <c r="O199" s="5"/>
    </row>
    <row r="200" spans="1:15" x14ac:dyDescent="0.25">
      <c r="N200" s="5"/>
    </row>
    <row r="201" spans="1:15" x14ac:dyDescent="0.25">
      <c r="B201" s="4" t="str">
        <f>VLOOKUP(B202,Vocabulary!$A:$B,2,FALSE)</f>
        <v>pɑt</v>
      </c>
      <c r="C201" s="4" t="str">
        <f>VLOOKUP(C202,Vocabulary!$A:$B,2,FALSE)</f>
        <v>mɪte:</v>
      </c>
      <c r="D201" s="4" t="str">
        <f>VLOOKUP(D202,Vocabulary!$A:$B,2,FALSE)</f>
        <v xml:space="preserve"> -(n)t</v>
      </c>
      <c r="E201" s="4" t="str">
        <f>VLOOKUP(E202,Vocabulary!$A:$B,2,FALSE)</f>
        <v>itk(ɪ)</v>
      </c>
      <c r="F201" s="4" t="str">
        <f>VLOOKUP(F202,Vocabulary!$A:$B,2,FALSE)</f>
        <v xml:space="preserve"> -β</v>
      </c>
      <c r="N201" s="5"/>
      <c r="O201" s="5"/>
    </row>
    <row r="202" spans="1:15" x14ac:dyDescent="0.25">
      <c r="A202" s="4">
        <v>42</v>
      </c>
      <c r="B202" s="22" t="s">
        <v>536</v>
      </c>
      <c r="C202" s="22" t="s">
        <v>609</v>
      </c>
      <c r="D202" s="22" t="s">
        <v>606</v>
      </c>
      <c r="E202" s="22" t="s">
        <v>610</v>
      </c>
      <c r="F202" s="22" t="s">
        <v>682</v>
      </c>
      <c r="N202" s="5"/>
      <c r="O202" s="5"/>
    </row>
    <row r="203" spans="1:15" x14ac:dyDescent="0.25">
      <c r="B203" s="58" t="s">
        <v>614</v>
      </c>
      <c r="C203" s="58"/>
      <c r="D203" s="58"/>
      <c r="N203" s="5"/>
    </row>
    <row r="204" spans="1:15" x14ac:dyDescent="0.25">
      <c r="N204" s="5"/>
      <c r="O204" s="5"/>
    </row>
    <row r="205" spans="1:15" x14ac:dyDescent="0.25">
      <c r="B205" s="4" t="str">
        <f>VLOOKUP(B206,Vocabulary!$A:$B,2,FALSE)</f>
        <v>pɑt</v>
      </c>
      <c r="C205" s="4" t="str">
        <f>VLOOKUP(C206,Vocabulary!$A:$B,2,FALSE)</f>
        <v>ʦɑɬɑ:</v>
      </c>
      <c r="D205" s="4" t="str">
        <f>VLOOKUP(D206,Vocabulary!$A:$B,2,FALSE)</f>
        <v xml:space="preserve"> -(n)t</v>
      </c>
      <c r="E205" s="4" t="str">
        <f>VLOOKUP(E206,Vocabulary!$A:$B,2,FALSE)</f>
        <v>itk(ɪ)</v>
      </c>
      <c r="F205" s="4" t="str">
        <f>VLOOKUP(F206,Vocabulary!$A:$B,2,FALSE)</f>
        <v xml:space="preserve"> -β</v>
      </c>
      <c r="N205" s="5"/>
      <c r="O205" s="5"/>
    </row>
    <row r="206" spans="1:15" x14ac:dyDescent="0.25">
      <c r="A206" s="4">
        <v>43</v>
      </c>
      <c r="B206" s="22" t="s">
        <v>536</v>
      </c>
      <c r="C206" s="22" t="s">
        <v>537</v>
      </c>
      <c r="D206" s="22" t="s">
        <v>606</v>
      </c>
      <c r="E206" s="22" t="s">
        <v>610</v>
      </c>
      <c r="F206" s="22" t="s">
        <v>682</v>
      </c>
      <c r="N206" s="5"/>
      <c r="O206" s="5"/>
    </row>
    <row r="207" spans="1:15" x14ac:dyDescent="0.25">
      <c r="B207" s="58" t="s">
        <v>615</v>
      </c>
      <c r="C207" s="58"/>
      <c r="D207" s="58"/>
      <c r="N207" s="5"/>
    </row>
    <row r="208" spans="1:15" x14ac:dyDescent="0.25">
      <c r="N208" s="5"/>
    </row>
    <row r="209" spans="1:15" x14ac:dyDescent="0.25">
      <c r="B209" s="4" t="str">
        <f>VLOOKUP(B210,Vocabulary!$A:$B,2,FALSE)</f>
        <v>pɑt</v>
      </c>
      <c r="C209" s="4" t="str">
        <f>VLOOKUP(C210,Vocabulary!$A:$B,2,FALSE)</f>
        <v>pota:</v>
      </c>
      <c r="D209" s="4" t="str">
        <f>VLOOKUP(D210,Vocabulary!$A:$B,2,FALSE)</f>
        <v xml:space="preserve"> -(ɪ)k</v>
      </c>
      <c r="E209" s="4" t="str">
        <f>VLOOKUP(E210,Vocabulary!$A:$B,2,FALSE)</f>
        <v>it(ɪ)</v>
      </c>
      <c r="F209" s="4" t="str">
        <f>VLOOKUP(F210,Vocabulary!$A:$B,2,FALSE)</f>
        <v xml:space="preserve"> -β</v>
      </c>
      <c r="N209" s="5"/>
    </row>
    <row r="210" spans="1:15" x14ac:dyDescent="0.25">
      <c r="A210" s="4">
        <v>44</v>
      </c>
      <c r="B210" s="22" t="s">
        <v>536</v>
      </c>
      <c r="C210" s="22" t="s">
        <v>618</v>
      </c>
      <c r="D210" s="22" t="s">
        <v>535</v>
      </c>
      <c r="E210" s="22" t="s">
        <v>580</v>
      </c>
      <c r="F210" s="22" t="s">
        <v>682</v>
      </c>
      <c r="N210" s="5"/>
    </row>
    <row r="211" spans="1:15" x14ac:dyDescent="0.25">
      <c r="B211" s="58" t="s">
        <v>619</v>
      </c>
      <c r="C211" s="58"/>
      <c r="D211" s="58"/>
      <c r="N211" s="5"/>
    </row>
    <row r="212" spans="1:15" x14ac:dyDescent="0.25">
      <c r="N212" s="5"/>
      <c r="O212" s="5"/>
    </row>
    <row r="213" spans="1:15" x14ac:dyDescent="0.25">
      <c r="B213" s="59" t="s">
        <v>621</v>
      </c>
      <c r="C213" s="59"/>
      <c r="D213" s="59"/>
      <c r="E213" s="59"/>
      <c r="F213" s="59"/>
      <c r="G213" s="59"/>
      <c r="H213" s="59"/>
      <c r="N213" s="5"/>
    </row>
    <row r="214" spans="1:15" x14ac:dyDescent="0.25">
      <c r="N214" s="5"/>
      <c r="O214" s="5"/>
    </row>
    <row r="215" spans="1:15" x14ac:dyDescent="0.25">
      <c r="B215" s="4" t="str">
        <f>VLOOKUP(B216,Vocabulary!$A:$B,2,FALSE)</f>
        <v>sæŋ</v>
      </c>
      <c r="C215" s="4" t="str">
        <f>VLOOKUP(C216,Vocabulary!$A:$B,2,FALSE)</f>
        <v>jaβ(a)</v>
      </c>
      <c r="D215" s="4" t="str">
        <f>VLOOKUP(D216,Vocabulary!$A:$B,2,FALSE)</f>
        <v xml:space="preserve"> -ʧ</v>
      </c>
      <c r="E215" s="4" t="str">
        <f>VLOOKUP(E216,Vocabulary!$A:$B,2,FALSE)</f>
        <v>pæ:</v>
      </c>
      <c r="F215" s="4" t="str">
        <f>VLOOKUP(F216,Vocabulary!$A:$B,2,FALSE)</f>
        <v xml:space="preserve"> -n</v>
      </c>
      <c r="G215" s="4" t="str">
        <f>VLOOKUP(G216,Vocabulary!$A:$B,2,FALSE)</f>
        <v>(j)o:</v>
      </c>
      <c r="N215" s="5"/>
      <c r="O215" s="5"/>
    </row>
    <row r="216" spans="1:15" x14ac:dyDescent="0.25">
      <c r="A216" s="4" t="s">
        <v>628</v>
      </c>
      <c r="B216" s="25" t="s">
        <v>630</v>
      </c>
      <c r="C216" s="25" t="s">
        <v>631</v>
      </c>
      <c r="D216" s="25" t="s">
        <v>1303</v>
      </c>
      <c r="E216" s="25" t="s">
        <v>386</v>
      </c>
      <c r="F216" s="25" t="s">
        <v>1305</v>
      </c>
      <c r="G216" s="25" t="s">
        <v>1060</v>
      </c>
      <c r="N216" s="5"/>
    </row>
    <row r="217" spans="1:15" x14ac:dyDescent="0.25">
      <c r="A217" s="4" t="s">
        <v>629</v>
      </c>
      <c r="B217" s="58" t="s">
        <v>633</v>
      </c>
      <c r="C217" s="58"/>
      <c r="D217" s="58"/>
      <c r="E217" s="58"/>
      <c r="F217" s="58"/>
      <c r="N217" s="5"/>
    </row>
    <row r="218" spans="1:15" x14ac:dyDescent="0.25">
      <c r="N218" s="5"/>
    </row>
    <row r="219" spans="1:15" x14ac:dyDescent="0.25">
      <c r="B219" s="4" t="str">
        <f>VLOOKUP(B220,Vocabulary!$A:$B,2,FALSE)</f>
        <v>sæŋ</v>
      </c>
      <c r="C219" s="4" t="str">
        <f>VLOOKUP(C220,Vocabulary!$A:$B,2,FALSE)</f>
        <v>jaβ(a)</v>
      </c>
      <c r="D219" s="4" t="str">
        <f>VLOOKUP(D220,Vocabulary!$A:$B,2,FALSE)</f>
        <v xml:space="preserve"> -ʧ</v>
      </c>
      <c r="E219" s="4" t="str">
        <f>VLOOKUP(E220,Vocabulary!$A:$B,2,FALSE)</f>
        <v>pæ:</v>
      </c>
      <c r="F219" s="4" t="str">
        <f>VLOOKUP(F220,Vocabulary!$A:$B,2,FALSE)</f>
        <v xml:space="preserve"> -n</v>
      </c>
      <c r="N219" s="5"/>
    </row>
    <row r="220" spans="1:15" x14ac:dyDescent="0.25">
      <c r="A220" s="4" t="s">
        <v>634</v>
      </c>
      <c r="B220" s="25" t="s">
        <v>630</v>
      </c>
      <c r="C220" s="25" t="s">
        <v>631</v>
      </c>
      <c r="D220" s="25" t="s">
        <v>1303</v>
      </c>
      <c r="E220" s="25" t="s">
        <v>386</v>
      </c>
      <c r="F220" s="25" t="s">
        <v>1305</v>
      </c>
      <c r="N220" s="5"/>
      <c r="O220" s="7"/>
    </row>
    <row r="221" spans="1:15" x14ac:dyDescent="0.25">
      <c r="A221" s="4" t="s">
        <v>635</v>
      </c>
      <c r="B221" s="58" t="s">
        <v>636</v>
      </c>
      <c r="C221" s="58"/>
      <c r="D221" s="58"/>
      <c r="E221" s="13"/>
      <c r="N221" s="5"/>
    </row>
    <row r="222" spans="1:15" x14ac:dyDescent="0.25">
      <c r="N222" s="5"/>
    </row>
    <row r="223" spans="1:15" x14ac:dyDescent="0.25">
      <c r="B223" s="4" t="str">
        <f>VLOOKUP(B224,Vocabulary!$A:$B,2,FALSE)</f>
        <v>ɑn</v>
      </c>
      <c r="C223" s="4" t="str">
        <f>VLOOKUP(C224,Vocabulary!$A:$B,2,FALSE)</f>
        <v xml:space="preserve"> -(n)t</v>
      </c>
      <c r="D223" s="4" t="str">
        <f>VLOOKUP(D224,Vocabulary!$A:$B,2,FALSE)</f>
        <v>mɪnd</v>
      </c>
      <c r="E223" s="4" t="str">
        <f>VLOOKUP(E224,Vocabulary!$A:$B,2,FALSE)</f>
        <v>ʊ:x</v>
      </c>
      <c r="F223" s="4" t="str">
        <f>VLOOKUP(F224,Vocabulary!$A:$B,2,FALSE)</f>
        <v>tʰaɸ</v>
      </c>
      <c r="G223" s="4" t="str">
        <f>VLOOKUP(G224,Vocabulary!$A:$B,2,FALSE)</f>
        <v xml:space="preserve"> -tʰæ:</v>
      </c>
      <c r="H223" s="4" t="str">
        <f>VLOOKUP(H224,Vocabulary!$A:$B,2,FALSE)</f>
        <v>ɑr(ɑ)</v>
      </c>
      <c r="I223" s="4" t="str">
        <f>VLOOKUP(I224,Vocabulary!$A:$B,2,FALSE)</f>
        <v xml:space="preserve"> -β</v>
      </c>
      <c r="J223" s="4" t="str">
        <f>VLOOKUP(J224,Vocabulary!$A:$B,2,FALSE)</f>
        <v>(j)o:</v>
      </c>
      <c r="N223" s="5"/>
    </row>
    <row r="224" spans="1:15" x14ac:dyDescent="0.25">
      <c r="A224" s="4" t="s">
        <v>637</v>
      </c>
      <c r="B224" s="25" t="s">
        <v>639</v>
      </c>
      <c r="C224" s="25" t="s">
        <v>606</v>
      </c>
      <c r="D224" s="25" t="s">
        <v>647</v>
      </c>
      <c r="E224" s="25" t="s">
        <v>644</v>
      </c>
      <c r="F224" s="32" t="s">
        <v>756</v>
      </c>
      <c r="G224" s="32" t="s">
        <v>753</v>
      </c>
      <c r="H224" s="25" t="s">
        <v>651</v>
      </c>
      <c r="I224" s="25" t="s">
        <v>682</v>
      </c>
      <c r="J224" s="25" t="s">
        <v>1060</v>
      </c>
      <c r="N224" s="5"/>
      <c r="O224" s="5"/>
    </row>
    <row r="225" spans="1:15" x14ac:dyDescent="0.25">
      <c r="A225" s="4" t="s">
        <v>629</v>
      </c>
      <c r="B225" s="58" t="s">
        <v>660</v>
      </c>
      <c r="C225" s="58"/>
      <c r="D225" s="58"/>
      <c r="E225" s="58"/>
      <c r="F225" s="58"/>
      <c r="G225" s="58"/>
      <c r="N225" s="5"/>
      <c r="O225" s="5"/>
    </row>
    <row r="226" spans="1:15" x14ac:dyDescent="0.25">
      <c r="N226" s="5"/>
    </row>
    <row r="227" spans="1:15" x14ac:dyDescent="0.25">
      <c r="B227" s="4" t="str">
        <f>VLOOKUP(B228,Vocabulary!$A:$B,2,FALSE)</f>
        <v>mɪnd</v>
      </c>
      <c r="C227" s="4" t="str">
        <f>VLOOKUP(C228,Vocabulary!$A:$B,2,FALSE)</f>
        <v xml:space="preserve"> -(k)e:</v>
      </c>
      <c r="E227" s="4" t="str">
        <f>VLOOKUP(E228,Vocabulary!$A:$B,2,FALSE)</f>
        <v>mɪnd</v>
      </c>
      <c r="F227" s="4" t="str">
        <f>VLOOKUP(F228,Vocabulary!$A:$B,2,FALSE)</f>
        <v>ɑr(ɑ)</v>
      </c>
      <c r="G227" s="4" t="str">
        <f>VLOOKUP(G228,Vocabulary!$A:$B,2,FALSE)</f>
        <v xml:space="preserve"> -ɬa:</v>
      </c>
      <c r="N227" s="5"/>
    </row>
    <row r="228" spans="1:15" x14ac:dyDescent="0.25">
      <c r="A228" s="4" t="s">
        <v>638</v>
      </c>
      <c r="B228" s="25" t="s">
        <v>647</v>
      </c>
      <c r="C228" s="25" t="s">
        <v>877</v>
      </c>
      <c r="D228" s="15" t="s">
        <v>652</v>
      </c>
      <c r="E228" s="25" t="s">
        <v>647</v>
      </c>
      <c r="F228" s="25" t="s">
        <v>651</v>
      </c>
      <c r="G228" s="25" t="s">
        <v>878</v>
      </c>
      <c r="N228" s="5"/>
    </row>
    <row r="229" spans="1:15" x14ac:dyDescent="0.25">
      <c r="A229" s="4" t="s">
        <v>635</v>
      </c>
      <c r="B229" s="58" t="s">
        <v>653</v>
      </c>
      <c r="C229" s="58"/>
      <c r="N229" s="5"/>
    </row>
    <row r="230" spans="1:15" x14ac:dyDescent="0.25">
      <c r="B230" s="58" t="s">
        <v>654</v>
      </c>
      <c r="C230" s="58"/>
      <c r="D230" s="58"/>
      <c r="E230" s="58"/>
      <c r="F230" s="58"/>
      <c r="N230" s="5"/>
    </row>
    <row r="231" spans="1:15" x14ac:dyDescent="0.25">
      <c r="N231" s="5"/>
    </row>
    <row r="232" spans="1:15" x14ac:dyDescent="0.25">
      <c r="B232" s="4" t="str">
        <f>VLOOKUP(B233,Vocabulary!$A:$B,2,FALSE)</f>
        <v>tʰa</v>
      </c>
      <c r="C232" s="24" t="str">
        <f>VLOOKUP(C233,Vocabulary!$A:$B,2,FALSE)</f>
        <v>ɑn</v>
      </c>
      <c r="D232" s="24" t="str">
        <f>VLOOKUP(D233,Vocabulary!$A:$B,2,FALSE)</f>
        <v xml:space="preserve"> -(n)t</v>
      </c>
      <c r="E232" s="24" t="str">
        <f>VLOOKUP(E233,Vocabulary!$A:$B,2,FALSE)</f>
        <v>mɪnd</v>
      </c>
      <c r="F232" s="24" t="str">
        <f>VLOOKUP(F233,Vocabulary!$A:$B,2,FALSE)</f>
        <v>ʊ:x</v>
      </c>
      <c r="G232" s="24" t="str">
        <f>VLOOKUP(G233,Vocabulary!$A:$B,2,FALSE)</f>
        <v>tʰaɸ</v>
      </c>
      <c r="H232" s="4" t="str">
        <f>VLOOKUP(H233,Vocabulary!$A:$B,2,FALSE)</f>
        <v xml:space="preserve"> -tʰæ:</v>
      </c>
      <c r="I232" s="24" t="str">
        <f>VLOOKUP(I233,Vocabulary!$A:$B,2,FALSE)</f>
        <v>ɑr(ɑ)</v>
      </c>
      <c r="J232" s="24" t="str">
        <f>VLOOKUP(J233,Vocabulary!$A:$B,2,FALSE)</f>
        <v xml:space="preserve"> -β</v>
      </c>
      <c r="K232" s="24" t="str">
        <f>VLOOKUP(K233,Vocabulary!$A:$B,2,FALSE)</f>
        <v>(j)o:</v>
      </c>
      <c r="N232" s="5"/>
    </row>
    <row r="233" spans="1:15" x14ac:dyDescent="0.25">
      <c r="A233" s="4" t="s">
        <v>657</v>
      </c>
      <c r="B233" s="25" t="s">
        <v>739</v>
      </c>
      <c r="C233" s="25" t="s">
        <v>639</v>
      </c>
      <c r="D233" s="25" t="s">
        <v>606</v>
      </c>
      <c r="E233" s="25" t="s">
        <v>647</v>
      </c>
      <c r="F233" s="25" t="s">
        <v>644</v>
      </c>
      <c r="G233" s="32" t="s">
        <v>756</v>
      </c>
      <c r="H233" s="32" t="s">
        <v>753</v>
      </c>
      <c r="I233" s="25" t="s">
        <v>651</v>
      </c>
      <c r="J233" s="25" t="s">
        <v>682</v>
      </c>
      <c r="K233" s="25" t="s">
        <v>1060</v>
      </c>
      <c r="N233" s="5"/>
    </row>
    <row r="234" spans="1:15" x14ac:dyDescent="0.25">
      <c r="A234" s="4" t="s">
        <v>659</v>
      </c>
      <c r="N234" s="5"/>
    </row>
    <row r="235" spans="1:15" x14ac:dyDescent="0.25">
      <c r="A235" s="4" t="s">
        <v>658</v>
      </c>
      <c r="N235" s="5"/>
    </row>
    <row r="236" spans="1:15" x14ac:dyDescent="0.25">
      <c r="B236" s="4" t="str">
        <f>VLOOKUP(B237,Vocabulary!$A:$B,2,FALSE)</f>
        <v>ʦaɬo</v>
      </c>
      <c r="C236" s="4" t="str">
        <f>VLOOKUP(C237,Vocabulary!$A:$B,2,FALSE)</f>
        <v>nam</v>
      </c>
      <c r="D236" s="4" t="str">
        <f>VLOOKUP(D237,Vocabulary!$A:$B,2,FALSE)</f>
        <v xml:space="preserve"> -(ɪ)k</v>
      </c>
      <c r="E236" s="4" t="str">
        <f>VLOOKUP(E237,Vocabulary!$A:$B,2,FALSE)</f>
        <v>aβ̞(ə)</v>
      </c>
      <c r="F236" s="4" t="str">
        <f>VLOOKUP(F237,Vocabulary!$A:$B,2,FALSE)</f>
        <v xml:space="preserve"> -β</v>
      </c>
      <c r="N236" s="5"/>
      <c r="O236" s="5"/>
    </row>
    <row r="237" spans="1:15" x14ac:dyDescent="0.25">
      <c r="A237" s="4">
        <v>47</v>
      </c>
      <c r="B237" s="25" t="s">
        <v>392</v>
      </c>
      <c r="C237" s="25" t="s">
        <v>439</v>
      </c>
      <c r="D237" s="25" t="s">
        <v>535</v>
      </c>
      <c r="E237" s="25" t="s">
        <v>622</v>
      </c>
      <c r="F237" s="25" t="s">
        <v>682</v>
      </c>
      <c r="N237" s="5"/>
      <c r="O237" s="5"/>
    </row>
    <row r="238" spans="1:15" x14ac:dyDescent="0.25">
      <c r="B238" s="60" t="s">
        <v>655</v>
      </c>
      <c r="C238" s="60"/>
      <c r="D238" s="60"/>
      <c r="E238" s="60"/>
      <c r="F238" s="13"/>
    </row>
    <row r="239" spans="1:15" x14ac:dyDescent="0.25">
      <c r="B239" s="58" t="s">
        <v>656</v>
      </c>
      <c r="C239" s="58"/>
    </row>
    <row r="241" spans="1:8" x14ac:dyDescent="0.25">
      <c r="B241" s="4" t="str">
        <f>VLOOKUP(B242,Vocabulary!$A:$B,2,FALSE)</f>
        <v>pɑt</v>
      </c>
      <c r="C241" s="4" t="str">
        <f>VLOOKUP(C242,Vocabulary!$A:$B,2,FALSE)</f>
        <v>it(ɪ)</v>
      </c>
      <c r="D241" s="4" t="str">
        <f>VLOOKUP(D242,Vocabulary!$A:$B,2,FALSE)</f>
        <v xml:space="preserve"> -β</v>
      </c>
    </row>
    <row r="242" spans="1:8" x14ac:dyDescent="0.25">
      <c r="A242" s="4">
        <v>48</v>
      </c>
      <c r="B242" s="25" t="s">
        <v>536</v>
      </c>
      <c r="C242" s="25" t="s">
        <v>580</v>
      </c>
      <c r="D242" s="25" t="s">
        <v>682</v>
      </c>
    </row>
    <row r="243" spans="1:8" x14ac:dyDescent="0.25">
      <c r="B243" s="58" t="s">
        <v>663</v>
      </c>
      <c r="C243" s="58"/>
      <c r="D243" s="58"/>
    </row>
    <row r="245" spans="1:8" x14ac:dyDescent="0.25">
      <c r="B245" s="4" t="str">
        <f>VLOOKUP(B246,Vocabulary!$A:$B,2,FALSE)</f>
        <v>pɑt</v>
      </c>
      <c r="C245" s="4" t="str">
        <f>VLOOKUP(C246,Vocabulary!$A:$B,2,FALSE)</f>
        <v>ɵʧʰɪktɵr</v>
      </c>
      <c r="D245" s="4" t="str">
        <f>VLOOKUP(D246,Vocabulary!$A:$B,2,FALSE)</f>
        <v>pota:</v>
      </c>
      <c r="E245" s="4" t="str">
        <f>VLOOKUP(E246,Vocabulary!$A:$B,2,FALSE)</f>
        <v>it(ɪ)</v>
      </c>
      <c r="F245" s="4" t="str">
        <f>VLOOKUP(F246,Vocabulary!$A:$B,2,FALSE)</f>
        <v xml:space="preserve"> -sɨŋ</v>
      </c>
    </row>
    <row r="246" spans="1:8" x14ac:dyDescent="0.25">
      <c r="A246" s="4">
        <v>49</v>
      </c>
      <c r="B246" s="25" t="s">
        <v>536</v>
      </c>
      <c r="C246" s="25" t="s">
        <v>668</v>
      </c>
      <c r="D246" s="25" t="s">
        <v>618</v>
      </c>
      <c r="E246" s="25" t="s">
        <v>580</v>
      </c>
      <c r="F246" s="25" t="s">
        <v>679</v>
      </c>
    </row>
    <row r="247" spans="1:8" x14ac:dyDescent="0.25">
      <c r="B247" s="58" t="s">
        <v>665</v>
      </c>
      <c r="C247" s="58"/>
      <c r="D247" s="58"/>
      <c r="E247" s="58"/>
    </row>
    <row r="248" spans="1:8" x14ac:dyDescent="0.25">
      <c r="B248" s="58" t="s">
        <v>666</v>
      </c>
      <c r="C248" s="58"/>
      <c r="D248" s="58"/>
      <c r="E248" s="58"/>
      <c r="F248" s="58"/>
    </row>
    <row r="250" spans="1:8" x14ac:dyDescent="0.25">
      <c r="B250" s="4" t="str">
        <f>VLOOKUP(B251,Vocabulary!$A:$B,2,FALSE)</f>
        <v>pɑt</v>
      </c>
      <c r="C250" s="4" t="str">
        <f>VLOOKUP(C251,Vocabulary!$A:$B,2,FALSE)</f>
        <v>ɵŋkɵrsɵŋ</v>
      </c>
      <c r="D250" s="4" t="str">
        <f>VLOOKUP(D251,Vocabulary!$A:$B,2,FALSE)</f>
        <v>tɑɬɑ:</v>
      </c>
      <c r="E250" s="4" t="str">
        <f>VLOOKUP(E251,Vocabulary!$A:$B,2,FALSE)</f>
        <v>xanʊkt</v>
      </c>
      <c r="F250" s="4" t="str">
        <f>VLOOKUP(F251,Vocabulary!$A:$B,2,FALSE)</f>
        <v>pota:</v>
      </c>
      <c r="G250" s="4" t="str">
        <f>VLOOKUP(G251,Vocabulary!$A:$B,2,FALSE)</f>
        <v>it(ɪ)</v>
      </c>
      <c r="H250" s="4" t="str">
        <f>VLOOKUP(H251,Vocabulary!$A:$B,2,FALSE)</f>
        <v xml:space="preserve"> -sɨŋ</v>
      </c>
    </row>
    <row r="251" spans="1:8" x14ac:dyDescent="0.25">
      <c r="A251" s="4">
        <v>50</v>
      </c>
      <c r="B251" s="25" t="s">
        <v>536</v>
      </c>
      <c r="C251" s="25" t="s">
        <v>670</v>
      </c>
      <c r="D251" s="25" t="s">
        <v>671</v>
      </c>
      <c r="E251" s="25" t="s">
        <v>676</v>
      </c>
      <c r="F251" s="25" t="s">
        <v>618</v>
      </c>
      <c r="G251" s="25" t="s">
        <v>580</v>
      </c>
      <c r="H251" s="23" t="s">
        <v>679</v>
      </c>
    </row>
    <row r="252" spans="1:8" x14ac:dyDescent="0.25">
      <c r="B252" s="58" t="s">
        <v>684</v>
      </c>
      <c r="C252" s="58"/>
      <c r="D252" s="58"/>
      <c r="E252" s="58"/>
      <c r="F252" s="58"/>
    </row>
    <row r="254" spans="1:8" x14ac:dyDescent="0.25">
      <c r="B254" s="4" t="str">
        <f>VLOOKUP(B255,Vocabulary!$A:$B,2,FALSE)</f>
        <v>pɑt</v>
      </c>
      <c r="C254" s="4" t="str">
        <f>VLOOKUP(C255,Vocabulary!$A:$B,2,FALSE)</f>
        <v>ʦɑɬɑ:</v>
      </c>
      <c r="D254" s="4" t="str">
        <f>VLOOKUP(D255,Vocabulary!$A:$B,2,FALSE)</f>
        <v>xɑjər</v>
      </c>
      <c r="E254" s="4" t="str">
        <f>VLOOKUP(E255,Vocabulary!$A:$B,2,FALSE)</f>
        <v>pota:</v>
      </c>
      <c r="F254" s="4" t="str">
        <f>VLOOKUP(F255,Vocabulary!$A:$B,2,FALSE)</f>
        <v>it(ɪ)</v>
      </c>
      <c r="G254" s="4" t="str">
        <f>VLOOKUP(G255,Vocabulary!$A:$B,2,FALSE)</f>
        <v xml:space="preserve"> -sɨŋ</v>
      </c>
    </row>
    <row r="255" spans="1:8" x14ac:dyDescent="0.25">
      <c r="A255" s="4">
        <v>51</v>
      </c>
      <c r="B255" s="26" t="s">
        <v>536</v>
      </c>
      <c r="C255" s="26" t="s">
        <v>537</v>
      </c>
      <c r="D255" s="26" t="s">
        <v>410</v>
      </c>
      <c r="E255" s="26" t="s">
        <v>618</v>
      </c>
      <c r="F255" s="26" t="s">
        <v>580</v>
      </c>
      <c r="G255" s="23" t="s">
        <v>679</v>
      </c>
    </row>
    <row r="256" spans="1:8" x14ac:dyDescent="0.25">
      <c r="B256" s="58" t="s">
        <v>689</v>
      </c>
      <c r="C256" s="58"/>
      <c r="D256" s="58"/>
    </row>
    <row r="257" spans="1:10" x14ac:dyDescent="0.25">
      <c r="B257" s="58" t="s">
        <v>775</v>
      </c>
      <c r="C257" s="58"/>
      <c r="D257" s="58"/>
      <c r="E257" s="58"/>
      <c r="F257" s="58"/>
      <c r="G257" s="58"/>
      <c r="H257" s="58"/>
    </row>
    <row r="259" spans="1:10" x14ac:dyDescent="0.25">
      <c r="B259" s="4" t="str">
        <f>VLOOKUP(B260,Vocabulary!$A:$B,2,FALSE)</f>
        <v>na:(ʃ)</v>
      </c>
      <c r="C259" s="4" t="str">
        <f>VLOOKUP(C260,Vocabulary!$A:$B,2,FALSE)</f>
        <v xml:space="preserve"> -t</v>
      </c>
      <c r="D259" s="4" t="str">
        <f>VLOOKUP(D260,Vocabulary!$A:$B,2,FALSE)</f>
        <v>pota:</v>
      </c>
      <c r="E259" s="4" t="str">
        <f>VLOOKUP(E260,Vocabulary!$A:$B,2,FALSE)</f>
        <v>ʧʰi</v>
      </c>
      <c r="F259" s="4" t="str">
        <f>VLOOKUP(F260,Vocabulary!$A:$B,2,FALSE)</f>
        <v xml:space="preserve"> -n</v>
      </c>
      <c r="G259" s="4" t="str">
        <f>VLOOKUP(G260,Vocabulary!$A:$B,2,FALSE)</f>
        <v>xaɬo:</v>
      </c>
      <c r="H259" s="4" t="str">
        <f>VLOOKUP(H260,Vocabulary!$A:$B,2,FALSE)</f>
        <v xml:space="preserve"> -n</v>
      </c>
      <c r="I259" s="4" t="str">
        <f>VLOOKUP(I260,Vocabulary!$A:$B,2,FALSE)</f>
        <v>pæ:</v>
      </c>
      <c r="J259" s="4" t="str">
        <f>VLOOKUP(J260,Vocabulary!$A:$B,2,FALSE)</f>
        <v xml:space="preserve"> -n</v>
      </c>
    </row>
    <row r="260" spans="1:10" x14ac:dyDescent="0.25">
      <c r="A260" s="4" t="s">
        <v>730</v>
      </c>
      <c r="B260" s="26" t="s">
        <v>697</v>
      </c>
      <c r="C260" s="26" t="s">
        <v>418</v>
      </c>
      <c r="D260" s="26" t="s">
        <v>618</v>
      </c>
      <c r="E260" s="26" t="s">
        <v>740</v>
      </c>
      <c r="F260" s="47" t="s">
        <v>379</v>
      </c>
      <c r="G260" s="26" t="s">
        <v>699</v>
      </c>
      <c r="H260" s="26" t="s">
        <v>1305</v>
      </c>
      <c r="I260" s="26" t="s">
        <v>386</v>
      </c>
      <c r="J260" s="26" t="s">
        <v>1305</v>
      </c>
    </row>
    <row r="261" spans="1:10" x14ac:dyDescent="0.25">
      <c r="B261" s="60" t="str">
        <f>IF(B260="here","This rice is hot.", "That rice is hot")</f>
        <v>This rice is hot.</v>
      </c>
      <c r="C261" s="60"/>
      <c r="D261" s="13"/>
      <c r="E261" s="58"/>
      <c r="F261" s="58"/>
      <c r="G261" s="58"/>
      <c r="H261" s="58"/>
      <c r="I261" s="58"/>
    </row>
    <row r="262" spans="1:10" ht="15" customHeight="1" x14ac:dyDescent="0.25">
      <c r="B262" s="61" t="s">
        <v>729</v>
      </c>
      <c r="C262" s="61"/>
      <c r="D262" s="61"/>
      <c r="E262" s="61"/>
      <c r="F262" s="61"/>
      <c r="G262" s="61"/>
      <c r="H262" s="61"/>
    </row>
    <row r="263" spans="1:10" s="31" customFormat="1" ht="15" customHeight="1" x14ac:dyDescent="0.25">
      <c r="A263" s="4"/>
      <c r="B263" s="33"/>
      <c r="C263" s="33"/>
      <c r="D263" s="33"/>
      <c r="E263" s="33"/>
      <c r="F263" s="33"/>
      <c r="G263" s="33"/>
      <c r="H263" s="33"/>
    </row>
    <row r="264" spans="1:10" s="31" customFormat="1" ht="15" customHeight="1" x14ac:dyDescent="0.25">
      <c r="B264" s="4" t="str">
        <f>VLOOKUP(B265,Vocabulary!$A:$B,2,FALSE)</f>
        <v>ɪn</v>
      </c>
      <c r="C264" s="4" t="str">
        <f>VLOOKUP(C265,Vocabulary!$A:$B,2,FALSE)</f>
        <v>pota:</v>
      </c>
      <c r="D264" s="4" t="str">
        <f>VLOOKUP(D265,Vocabulary!$A:$B,2,FALSE)</f>
        <v>xaɬo:</v>
      </c>
      <c r="E264" s="4" t="str">
        <f>VLOOKUP(E265,Vocabulary!$A:$B,2,FALSE)</f>
        <v xml:space="preserve"> -n</v>
      </c>
      <c r="F264" s="4" t="str">
        <f>VLOOKUP(F265,Vocabulary!$A:$B,2,FALSE)</f>
        <v>pæ:</v>
      </c>
      <c r="G264" s="4" t="str">
        <f>VLOOKUP(G265,Vocabulary!$A:$B,2,FALSE)</f>
        <v xml:space="preserve"> -n</v>
      </c>
      <c r="H264" s="33"/>
    </row>
    <row r="265" spans="1:10" s="31" customFormat="1" ht="15" customHeight="1" x14ac:dyDescent="0.25">
      <c r="A265" s="31" t="s">
        <v>731</v>
      </c>
      <c r="B265" s="29" t="s">
        <v>438</v>
      </c>
      <c r="C265" s="29" t="s">
        <v>618</v>
      </c>
      <c r="D265" s="29" t="s">
        <v>699</v>
      </c>
      <c r="E265" s="29" t="s">
        <v>1305</v>
      </c>
      <c r="F265" s="29" t="s">
        <v>386</v>
      </c>
      <c r="G265" s="29" t="s">
        <v>1305</v>
      </c>
      <c r="H265" s="33"/>
    </row>
    <row r="266" spans="1:10" s="31" customFormat="1" ht="15" customHeight="1" x14ac:dyDescent="0.25">
      <c r="B266" s="60" t="str">
        <f>IF(B265="here","This rice is hot.", "That rice is hot")</f>
        <v>That rice is hot</v>
      </c>
      <c r="C266" s="60"/>
      <c r="D266" s="32"/>
      <c r="E266" s="62" t="s">
        <v>732</v>
      </c>
      <c r="F266" s="63"/>
      <c r="G266" s="63"/>
      <c r="H266" s="33"/>
    </row>
    <row r="267" spans="1:10" x14ac:dyDescent="0.25">
      <c r="A267" s="31"/>
    </row>
    <row r="268" spans="1:10" x14ac:dyDescent="0.25">
      <c r="B268" s="4" t="str">
        <f>VLOOKUP(B269,Vocabulary!$A:$B,2,FALSE)</f>
        <v>xɨŋ</v>
      </c>
      <c r="C268" s="4" t="str">
        <f>VLOOKUP(C269,Vocabulary!$A:$B,2,FALSE)</f>
        <v>ɪn</v>
      </c>
      <c r="D268" s="4" t="str">
        <f>VLOOKUP(D269,Vocabulary!$A:$B,2,FALSE)</f>
        <v>pota:</v>
      </c>
      <c r="E268" s="4" t="str">
        <f>VLOOKUP(E269,Vocabulary!$A:$B,2,FALSE)</f>
        <v xml:space="preserve"> -(ɪ)k</v>
      </c>
      <c r="F268" s="4" t="str">
        <f>VLOOKUP(F269,Vocabulary!$A:$B,2,FALSE)</f>
        <v>it(ɪ)</v>
      </c>
      <c r="G268" s="4" t="str">
        <f>VLOOKUP(G269,Vocabulary!$A:$B,2,FALSE)</f>
        <v xml:space="preserve"> -ʧɨx</v>
      </c>
      <c r="H268" s="4" t="str">
        <f>VLOOKUP(H269,Vocabulary!$A:$B,2,FALSE)</f>
        <v xml:space="preserve"> -sɨŋ</v>
      </c>
      <c r="I268" s="4" t="str">
        <f>VLOOKUP(I269,Vocabulary!$A:$B,2,FALSE)</f>
        <v>pæ:</v>
      </c>
      <c r="J268" s="4" t="str">
        <f>VLOOKUP(J269,Vocabulary!$A:$B,2,FALSE)</f>
        <v xml:space="preserve"> -sɨŋ</v>
      </c>
    </row>
    <row r="269" spans="1:10" x14ac:dyDescent="0.25">
      <c r="A269" s="4">
        <v>53</v>
      </c>
      <c r="B269" s="26" t="s">
        <v>776</v>
      </c>
      <c r="C269" s="26" t="s">
        <v>438</v>
      </c>
      <c r="D269" s="26" t="s">
        <v>618</v>
      </c>
      <c r="E269" s="26" t="s">
        <v>535</v>
      </c>
      <c r="F269" s="26" t="s">
        <v>580</v>
      </c>
      <c r="G269" s="28" t="s">
        <v>685</v>
      </c>
      <c r="H269" s="26" t="s">
        <v>679</v>
      </c>
      <c r="I269" s="26" t="s">
        <v>386</v>
      </c>
      <c r="J269" s="26" t="s">
        <v>679</v>
      </c>
    </row>
    <row r="270" spans="1:10" x14ac:dyDescent="0.25">
      <c r="B270" s="58" t="s">
        <v>702</v>
      </c>
      <c r="C270" s="58"/>
      <c r="D270" s="58"/>
      <c r="E270" s="58"/>
      <c r="F270" s="58"/>
    </row>
    <row r="272" spans="1:10" x14ac:dyDescent="0.25">
      <c r="B272" s="4" t="str">
        <f>VLOOKUP(B273,Vocabulary!$A:$B,2,FALSE)</f>
        <v>ɪn</v>
      </c>
      <c r="C272" s="4" t="str">
        <f>VLOOKUP(C273,Vocabulary!$A:$B,2,FALSE)</f>
        <v>xɨŋ</v>
      </c>
      <c r="D272" s="4" t="str">
        <f>VLOOKUP(D273,Vocabulary!$A:$B,2,FALSE)</f>
        <v>pota:</v>
      </c>
      <c r="E272" s="4" t="str">
        <f>VLOOKUP(E273,Vocabulary!$A:$B,2,FALSE)</f>
        <v xml:space="preserve"> -(ɪ)k</v>
      </c>
      <c r="F272" s="4" t="str">
        <f>VLOOKUP(F273,Vocabulary!$A:$B,2,FALSE)</f>
        <v>it(ɪ)</v>
      </c>
      <c r="G272" s="4" t="str">
        <f>VLOOKUP(G273,Vocabulary!$A:$B,2,FALSE)</f>
        <v xml:space="preserve"> -ʧɨx</v>
      </c>
      <c r="H272" s="4" t="str">
        <f>VLOOKUP(H273,Vocabulary!$A:$B,2,FALSE)</f>
        <v xml:space="preserve"> -sɨŋ</v>
      </c>
      <c r="I272" s="4" t="str">
        <f>VLOOKUP(I273,Vocabulary!$A:$B,2,FALSE)</f>
        <v>pæ:</v>
      </c>
      <c r="J272" s="4" t="str">
        <f>VLOOKUP(J273,Vocabulary!$A:$B,2,FALSE)</f>
        <v xml:space="preserve"> -sɨŋ</v>
      </c>
    </row>
    <row r="273" spans="1:11" x14ac:dyDescent="0.25">
      <c r="A273" s="4">
        <v>54</v>
      </c>
      <c r="B273" s="26" t="s">
        <v>438</v>
      </c>
      <c r="C273" s="26" t="s">
        <v>776</v>
      </c>
      <c r="D273" s="26" t="s">
        <v>618</v>
      </c>
      <c r="E273" s="26" t="s">
        <v>535</v>
      </c>
      <c r="F273" s="26" t="s">
        <v>580</v>
      </c>
      <c r="G273" s="26" t="s">
        <v>685</v>
      </c>
      <c r="H273" s="26" t="s">
        <v>679</v>
      </c>
      <c r="I273" s="26" t="s">
        <v>386</v>
      </c>
      <c r="J273" s="26" t="s">
        <v>679</v>
      </c>
    </row>
    <row r="274" spans="1:11" x14ac:dyDescent="0.25">
      <c r="B274" s="58" t="s">
        <v>703</v>
      </c>
      <c r="C274" s="58"/>
      <c r="D274" s="58"/>
      <c r="E274" s="58"/>
    </row>
    <row r="276" spans="1:11" x14ac:dyDescent="0.25">
      <c r="B276" s="4" t="str">
        <f>VLOOKUP(B277,Vocabulary!$A:$B,2,FALSE)</f>
        <v>ɪn</v>
      </c>
      <c r="C276" s="4" t="str">
        <f>VLOOKUP(C277,Vocabulary!$A:$B,2,FALSE)</f>
        <v>xɨŋ</v>
      </c>
      <c r="D276" s="4" t="str">
        <f>VLOOKUP(D277,Vocabulary!$A:$B,2,FALSE)</f>
        <v>ɪn</v>
      </c>
      <c r="E276" s="4" t="str">
        <f>VLOOKUP(E277,Vocabulary!$A:$B,2,FALSE)</f>
        <v>pota:</v>
      </c>
      <c r="F276" s="4" t="str">
        <f>VLOOKUP(F277,Vocabulary!$A:$B,2,FALSE)</f>
        <v xml:space="preserve"> -(ɪ)k</v>
      </c>
      <c r="G276" s="4" t="str">
        <f>VLOOKUP(G277,Vocabulary!$A:$B,2,FALSE)</f>
        <v>it(ɪ)</v>
      </c>
      <c r="H276" s="4" t="str">
        <f>VLOOKUP(H277,Vocabulary!$A:$B,2,FALSE)</f>
        <v xml:space="preserve"> -ʧɨx</v>
      </c>
      <c r="I276" s="4" t="str">
        <f>VLOOKUP(I277,Vocabulary!$A:$B,2,FALSE)</f>
        <v xml:space="preserve"> -sɨŋ</v>
      </c>
      <c r="J276" s="4" t="str">
        <f>VLOOKUP(J277,Vocabulary!$A:$B,2,FALSE)</f>
        <v>pæ:</v>
      </c>
      <c r="K276" s="4" t="str">
        <f>VLOOKUP(K277,Vocabulary!$A:$B,2,FALSE)</f>
        <v xml:space="preserve"> -sɨŋ</v>
      </c>
    </row>
    <row r="277" spans="1:11" x14ac:dyDescent="0.25">
      <c r="A277" s="4">
        <v>55</v>
      </c>
      <c r="B277" s="26" t="s">
        <v>438</v>
      </c>
      <c r="C277" s="26" t="s">
        <v>776</v>
      </c>
      <c r="D277" s="26" t="s">
        <v>438</v>
      </c>
      <c r="E277" s="26" t="s">
        <v>618</v>
      </c>
      <c r="F277" s="26" t="s">
        <v>535</v>
      </c>
      <c r="G277" s="26" t="s">
        <v>580</v>
      </c>
      <c r="H277" s="26" t="s">
        <v>685</v>
      </c>
      <c r="I277" s="26" t="s">
        <v>679</v>
      </c>
      <c r="J277" s="26" t="s">
        <v>386</v>
      </c>
      <c r="K277" s="26" t="s">
        <v>679</v>
      </c>
    </row>
    <row r="278" spans="1:11" x14ac:dyDescent="0.25">
      <c r="B278" s="58" t="s">
        <v>704</v>
      </c>
      <c r="C278" s="58"/>
      <c r="D278" s="58"/>
    </row>
    <row r="280" spans="1:11" x14ac:dyDescent="0.25">
      <c r="B280" s="4" t="str">
        <f>VLOOKUP(B281,Vocabulary!$A:$B,2,FALSE)</f>
        <v>pɑt</v>
      </c>
      <c r="C280" s="4" t="str">
        <f>VLOOKUP(C281,Vocabulary!$A:$B,2,FALSE)</f>
        <v>ʦɑɬɑ:</v>
      </c>
      <c r="D280" s="4" t="str">
        <f>VLOOKUP(D281,Vocabulary!$A:$B,2,FALSE)</f>
        <v xml:space="preserve"> -(n)t</v>
      </c>
      <c r="E280" s="4" t="str">
        <f>VLOOKUP(E281,Vocabulary!$A:$B,2,FALSE)</f>
        <v>nam</v>
      </c>
      <c r="F280" s="4" t="str">
        <f>VLOOKUP(F281,Vocabulary!$A:$B,2,FALSE)</f>
        <v xml:space="preserve"> -(ɪ)k</v>
      </c>
      <c r="G280" s="4" t="str">
        <f>VLOOKUP(G281,Vocabulary!$A:$B,2,FALSE)</f>
        <v>ɵk(ɵ)</v>
      </c>
      <c r="H280" s="4" t="str">
        <f>VLOOKUP(H281,Vocabulary!$A:$B,2,FALSE)</f>
        <v xml:space="preserve"> -β</v>
      </c>
    </row>
    <row r="281" spans="1:11" x14ac:dyDescent="0.25">
      <c r="A281" s="4">
        <v>56</v>
      </c>
      <c r="B281" s="26" t="s">
        <v>536</v>
      </c>
      <c r="C281" s="26" t="s">
        <v>537</v>
      </c>
      <c r="D281" s="26" t="s">
        <v>606</v>
      </c>
      <c r="E281" s="26" t="s">
        <v>439</v>
      </c>
      <c r="F281" s="26" t="s">
        <v>535</v>
      </c>
      <c r="G281" s="26" t="s">
        <v>706</v>
      </c>
      <c r="H281" s="26" t="s">
        <v>682</v>
      </c>
    </row>
    <row r="282" spans="1:11" x14ac:dyDescent="0.25">
      <c r="B282" s="58" t="s">
        <v>707</v>
      </c>
      <c r="C282" s="58"/>
      <c r="D282" s="58"/>
    </row>
    <row r="284" spans="1:11" x14ac:dyDescent="0.25">
      <c r="B284" s="4" t="str">
        <f>VLOOKUP(B285,Vocabulary!$A:$B,2,FALSE)</f>
        <v>pɑt</v>
      </c>
      <c r="C284" s="4" t="str">
        <f>VLOOKUP(C285,Vocabulary!$A:$B,2,FALSE)</f>
        <v>ʦɑɬɑ:</v>
      </c>
      <c r="D284" s="4" t="str">
        <f>VLOOKUP(D285,Vocabulary!$A:$B,2,FALSE)</f>
        <v xml:space="preserve"> -(k)as</v>
      </c>
      <c r="E284" s="4" t="str">
        <f>VLOOKUP(E285,Vocabulary!$A:$B,2,FALSE)</f>
        <v>nam</v>
      </c>
      <c r="F284" s="4" t="str">
        <f>VLOOKUP(F285,Vocabulary!$A:$B,2,FALSE)</f>
        <v xml:space="preserve"> -(ɪ)k</v>
      </c>
      <c r="G284" s="4" t="str">
        <f>VLOOKUP(G285,Vocabulary!$A:$B,2,FALSE)</f>
        <v>aβ̞(ə)</v>
      </c>
      <c r="H284" s="4" t="str">
        <f>VLOOKUP(H285,Vocabulary!$A:$B,2,FALSE)</f>
        <v xml:space="preserve"> -β</v>
      </c>
    </row>
    <row r="285" spans="1:11" x14ac:dyDescent="0.25">
      <c r="A285" s="4">
        <v>57</v>
      </c>
      <c r="B285" s="26" t="s">
        <v>536</v>
      </c>
      <c r="C285" s="26" t="s">
        <v>537</v>
      </c>
      <c r="D285" s="26" t="s">
        <v>1052</v>
      </c>
      <c r="E285" s="26" t="s">
        <v>439</v>
      </c>
      <c r="F285" s="26" t="s">
        <v>535</v>
      </c>
      <c r="G285" s="26" t="s">
        <v>622</v>
      </c>
      <c r="H285" s="26" t="s">
        <v>682</v>
      </c>
    </row>
    <row r="286" spans="1:11" x14ac:dyDescent="0.25">
      <c r="B286" s="58" t="s">
        <v>709</v>
      </c>
      <c r="C286" s="58"/>
      <c r="D286" s="58"/>
      <c r="E286" s="58"/>
    </row>
    <row r="288" spans="1:11" x14ac:dyDescent="0.25">
      <c r="B288" s="4" t="str">
        <f>VLOOKUP(B289,Vocabulary!$A:$B,2,FALSE)</f>
        <v>pɑt</v>
      </c>
      <c r="C288" s="4" t="str">
        <f>VLOOKUP(C289,Vocabulary!$A:$B,2,FALSE)</f>
        <v>ɔn(a)</v>
      </c>
      <c r="D288" s="4" t="str">
        <f>VLOOKUP(D289,Vocabulary!$A:$B,2,FALSE)</f>
        <v xml:space="preserve"> -β</v>
      </c>
    </row>
    <row r="289" spans="1:6" x14ac:dyDescent="0.25">
      <c r="A289" s="4">
        <v>58</v>
      </c>
      <c r="B289" s="26" t="s">
        <v>536</v>
      </c>
      <c r="C289" s="26" t="s">
        <v>575</v>
      </c>
      <c r="D289" s="26" t="s">
        <v>682</v>
      </c>
    </row>
    <row r="290" spans="1:6" x14ac:dyDescent="0.25">
      <c r="B290" s="58" t="s">
        <v>710</v>
      </c>
      <c r="C290" s="58"/>
    </row>
    <row r="292" spans="1:6" x14ac:dyDescent="0.25">
      <c r="B292" s="4" t="str">
        <f>VLOOKUP(B293,Vocabulary!$A:$B,2,FALSE)</f>
        <v>pɑt</v>
      </c>
      <c r="C292" s="4" t="str">
        <f>VLOOKUP(C293,Vocabulary!$A:$B,2,FALSE)</f>
        <v>mørø</v>
      </c>
      <c r="D292" s="4" t="str">
        <f>VLOOKUP(D293,Vocabulary!$A:$B,2,FALSE)</f>
        <v>ɔn(a)</v>
      </c>
      <c r="E292" s="4" t="str">
        <f>VLOOKUP(E293,Vocabulary!$A:$B,2,FALSE)</f>
        <v xml:space="preserve"> -β</v>
      </c>
    </row>
    <row r="293" spans="1:6" x14ac:dyDescent="0.25">
      <c r="A293" s="4">
        <v>59</v>
      </c>
      <c r="B293" s="26" t="s">
        <v>536</v>
      </c>
      <c r="C293" s="26" t="s">
        <v>566</v>
      </c>
      <c r="D293" s="26" t="s">
        <v>575</v>
      </c>
      <c r="E293" s="26" t="s">
        <v>682</v>
      </c>
    </row>
    <row r="294" spans="1:6" x14ac:dyDescent="0.25">
      <c r="B294" s="58" t="s">
        <v>711</v>
      </c>
      <c r="C294" s="58"/>
    </row>
    <row r="296" spans="1:6" x14ac:dyDescent="0.25">
      <c r="B296" s="4" t="str">
        <f>VLOOKUP(B297,Vocabulary!$A:$B,2,FALSE)</f>
        <v>pɑt</v>
      </c>
      <c r="C296" s="4" t="str">
        <f>VLOOKUP(C297,Vocabulary!$A:$B,2,FALSE)</f>
        <v>jɛɾ(ɪ)</v>
      </c>
      <c r="D296" s="4" t="str">
        <f>VLOOKUP(D297,Vocabulary!$A:$B,2,FALSE)</f>
        <v xml:space="preserve"> -β</v>
      </c>
    </row>
    <row r="297" spans="1:6" x14ac:dyDescent="0.25">
      <c r="A297" s="4">
        <v>60</v>
      </c>
      <c r="B297" s="26" t="s">
        <v>536</v>
      </c>
      <c r="C297" s="26" t="s">
        <v>712</v>
      </c>
      <c r="D297" s="26" t="s">
        <v>682</v>
      </c>
    </row>
    <row r="298" spans="1:6" x14ac:dyDescent="0.25">
      <c r="B298" s="58" t="s">
        <v>713</v>
      </c>
      <c r="C298" s="58"/>
    </row>
    <row r="300" spans="1:6" x14ac:dyDescent="0.25">
      <c r="B300" s="4" t="str">
        <f>VLOOKUP(B301,Vocabulary!$A:$B,2,FALSE)</f>
        <v>pɑt</v>
      </c>
      <c r="C300" s="4" t="str">
        <f>VLOOKUP(C301,Vocabulary!$A:$B,2,FALSE)</f>
        <v>ʦɑɬɑ:</v>
      </c>
      <c r="D300" s="4" t="str">
        <f>VLOOKUP(D301,Vocabulary!$A:$B,2,FALSE)</f>
        <v xml:space="preserve"> -tʰɶ:</v>
      </c>
      <c r="E300" s="4" t="str">
        <f>VLOOKUP(E301,Vocabulary!$A:$B,2,FALSE)</f>
        <v>jɛɾ(ɪ)</v>
      </c>
      <c r="F300" s="4" t="str">
        <f>VLOOKUP(F301,Vocabulary!$A:$B,2,FALSE)</f>
        <v xml:space="preserve"> -β</v>
      </c>
    </row>
    <row r="301" spans="1:6" x14ac:dyDescent="0.25">
      <c r="A301" s="4">
        <v>61</v>
      </c>
      <c r="B301" s="26" t="s">
        <v>536</v>
      </c>
      <c r="C301" s="26" t="s">
        <v>537</v>
      </c>
      <c r="D301" s="26" t="str">
        <f>IF(C301="titske", "COM e", "COM o")</f>
        <v>COM o</v>
      </c>
      <c r="E301" s="26" t="s">
        <v>712</v>
      </c>
      <c r="F301" s="26" t="s">
        <v>682</v>
      </c>
    </row>
    <row r="302" spans="1:6" x14ac:dyDescent="0.25">
      <c r="B302" s="58" t="str">
        <f>IF(C301="titske","Bat talked to Titske", "Bat talked to Zoloo")</f>
        <v>Bat talked to Zoloo</v>
      </c>
      <c r="C302" s="58"/>
      <c r="D302" s="58"/>
    </row>
    <row r="304" spans="1:6" x14ac:dyDescent="0.25">
      <c r="B304" s="4" t="str">
        <f>VLOOKUP(B305,Vocabulary!$A:$B,2,FALSE)</f>
        <v>pɑt</v>
      </c>
      <c r="C304" s="4" t="str">
        <f>VLOOKUP(C305,Vocabulary!$A:$B,2,FALSE)</f>
        <v>xaɬo:ʦʰ(ə)</v>
      </c>
      <c r="D304" s="4" t="str">
        <f>VLOOKUP(D305,Vocabulary!$A:$B,2,FALSE)</f>
        <v xml:space="preserve"> -ʧ</v>
      </c>
      <c r="E304" s="4" t="str">
        <f>VLOOKUP(E305,Vocabulary!$A:$B,2,FALSE)</f>
        <v>pæ:</v>
      </c>
      <c r="F304" s="4" t="str">
        <f>VLOOKUP(F305,Vocabulary!$A:$B,2,FALSE)</f>
        <v xml:space="preserve"> -n</v>
      </c>
    </row>
    <row r="305" spans="1:8" x14ac:dyDescent="0.25">
      <c r="A305" s="4">
        <v>62</v>
      </c>
      <c r="B305" s="27" t="s">
        <v>536</v>
      </c>
      <c r="C305" s="27" t="s">
        <v>722</v>
      </c>
      <c r="D305" s="27" t="s">
        <v>1303</v>
      </c>
      <c r="E305" s="27" t="s">
        <v>386</v>
      </c>
      <c r="F305" s="27" t="s">
        <v>1305</v>
      </c>
    </row>
    <row r="306" spans="1:8" x14ac:dyDescent="0.25">
      <c r="B306" s="58" t="str">
        <f>IF(C305="feel.cold","Bat is feeling cold.", "Bat is feeling hot")</f>
        <v>Bat is feeling hot</v>
      </c>
      <c r="C306" s="58"/>
    </row>
    <row r="308" spans="1:8" x14ac:dyDescent="0.25">
      <c r="B308" s="4" t="str">
        <f>VLOOKUP(B309,Vocabulary!$A:$B,2,FALSE)</f>
        <v>pɑt</v>
      </c>
      <c r="C308" s="4" t="str">
        <f>VLOOKUP(C309,Vocabulary!$A:$B,2,FALSE)</f>
        <v>pɑɬ</v>
      </c>
      <c r="D308" s="4" t="str">
        <f>VLOOKUP(D309,Vocabulary!$A:$B,2,FALSE)</f>
        <v>ʦaɬo:</v>
      </c>
      <c r="E308" s="4" t="str">
        <f>VLOOKUP(E309,Vocabulary!$A:$B,2,FALSE)</f>
        <v>xɨŋ</v>
      </c>
    </row>
    <row r="309" spans="1:8" x14ac:dyDescent="0.25">
      <c r="A309" s="4">
        <v>63</v>
      </c>
      <c r="B309" s="27" t="s">
        <v>536</v>
      </c>
      <c r="C309" s="27" t="s">
        <v>916</v>
      </c>
      <c r="D309" s="27" t="s">
        <v>724</v>
      </c>
      <c r="E309" s="27" t="s">
        <v>776</v>
      </c>
    </row>
    <row r="310" spans="1:8" x14ac:dyDescent="0.25">
      <c r="B310" s="58" t="s">
        <v>725</v>
      </c>
      <c r="C310" s="58"/>
      <c r="D310" s="58"/>
    </row>
    <row r="311" spans="1:8" s="31" customFormat="1" x14ac:dyDescent="0.25">
      <c r="A311" s="4"/>
      <c r="B311" s="30"/>
      <c r="C311" s="30"/>
      <c r="D311" s="30"/>
    </row>
    <row r="312" spans="1:8" s="31" customFormat="1" x14ac:dyDescent="0.25">
      <c r="B312" s="59" t="s">
        <v>738</v>
      </c>
      <c r="C312" s="59"/>
      <c r="D312" s="59"/>
      <c r="E312" s="59"/>
      <c r="F312" s="59"/>
      <c r="G312" s="59"/>
      <c r="H312" s="59"/>
    </row>
    <row r="313" spans="1:8" x14ac:dyDescent="0.25">
      <c r="A313" s="32"/>
    </row>
    <row r="314" spans="1:8" x14ac:dyDescent="0.25">
      <c r="B314" s="4" t="str">
        <f>VLOOKUP(B315,Vocabulary!$A:$B,2,FALSE)</f>
        <v>ʦuke:r</v>
      </c>
      <c r="C314" s="4" t="str">
        <f>VLOOKUP(C315,Vocabulary!$A:$B,2,FALSE)</f>
        <v xml:space="preserve"> -(k)e:</v>
      </c>
    </row>
    <row r="315" spans="1:8" x14ac:dyDescent="0.25">
      <c r="A315" s="4">
        <v>64</v>
      </c>
      <c r="B315" s="32" t="s">
        <v>736</v>
      </c>
      <c r="C315" s="32" t="s">
        <v>877</v>
      </c>
    </row>
    <row r="316" spans="1:8" x14ac:dyDescent="0.25">
      <c r="B316" s="58" t="s">
        <v>737</v>
      </c>
      <c r="C316" s="58"/>
      <c r="D316" s="58"/>
      <c r="E316" s="58"/>
    </row>
    <row r="318" spans="1:8" x14ac:dyDescent="0.25">
      <c r="B318" s="4" t="str">
        <f>VLOOKUP(B319,Vocabulary!$A:$B,2,FALSE)</f>
        <v>ʧʰi</v>
      </c>
      <c r="C318" s="4" t="str">
        <f>VLOOKUP(C319,Vocabulary!$A:$B,2,FALSE)</f>
        <v>ʦuke:r</v>
      </c>
      <c r="D318" s="4" t="str">
        <f>VLOOKUP(D319,Vocabulary!$A:$B,2,FALSE)</f>
        <v>(j)o:</v>
      </c>
    </row>
    <row r="319" spans="1:8" x14ac:dyDescent="0.25">
      <c r="A319" s="4">
        <v>65</v>
      </c>
      <c r="B319" s="32" t="s">
        <v>740</v>
      </c>
      <c r="C319" s="32" t="s">
        <v>736</v>
      </c>
      <c r="D319" s="32" t="s">
        <v>1060</v>
      </c>
    </row>
    <row r="320" spans="1:8" x14ac:dyDescent="0.25">
      <c r="B320" s="58" t="str">
        <f xml:space="preserve"> IF(B319 = "2sg (pol.)", "Are you okay? (polite)", "Are you okay? (familiar)")</f>
        <v>Are you okay? (familiar)</v>
      </c>
      <c r="C320" s="58"/>
      <c r="D320" s="58"/>
      <c r="E320" s="58"/>
    </row>
    <row r="322" spans="1:9" x14ac:dyDescent="0.25">
      <c r="B322" s="4" t="str">
        <f>VLOOKUP(B323,Vocabulary!$A:$B,2,FALSE)</f>
        <v>pɑt</v>
      </c>
      <c r="C322" s="4" t="str">
        <f>VLOOKUP(C323,Vocabulary!$A:$B,2,FALSE)</f>
        <v>ʦʰɪʦke:</v>
      </c>
      <c r="D322" s="4" t="str">
        <f>VLOOKUP(D323,Vocabulary!$A:$B,2,FALSE)</f>
        <v>xɑjər</v>
      </c>
      <c r="E322" s="4" t="str">
        <f>VLOOKUP(E323,Vocabulary!$A:$B,2,FALSE)</f>
        <v>jɛɾ(ɪ)</v>
      </c>
      <c r="F322" s="4" t="str">
        <f>VLOOKUP(F323,Vocabulary!$A:$B,2,FALSE)</f>
        <v xml:space="preserve"> -β</v>
      </c>
    </row>
    <row r="323" spans="1:9" x14ac:dyDescent="0.25">
      <c r="A323" s="4">
        <v>66</v>
      </c>
      <c r="B323" s="32" t="s">
        <v>536</v>
      </c>
      <c r="C323" s="32" t="s">
        <v>714</v>
      </c>
      <c r="D323" s="32" t="s">
        <v>410</v>
      </c>
      <c r="E323" s="32" t="s">
        <v>712</v>
      </c>
      <c r="F323" s="32" t="s">
        <v>682</v>
      </c>
    </row>
    <row r="324" spans="1:9" x14ac:dyDescent="0.25">
      <c r="B324" s="30" t="s">
        <v>743</v>
      </c>
      <c r="C324" s="30"/>
      <c r="D324" s="30"/>
      <c r="E324" s="30"/>
      <c r="F324" s="30"/>
      <c r="G324" s="30"/>
    </row>
    <row r="326" spans="1:9" x14ac:dyDescent="0.25">
      <c r="B326" s="4" t="str">
        <f>VLOOKUP(B327,Vocabulary!$A:$B,2,FALSE)</f>
        <v>pɑt</v>
      </c>
      <c r="C326" s="4" t="str">
        <f>VLOOKUP(C327,Vocabulary!$A:$B,2,FALSE)</f>
        <v>ʦʰɪʦke:</v>
      </c>
      <c r="D326" s="4" t="str">
        <f>VLOOKUP(D327,Vocabulary!$A:$B,2,FALSE)</f>
        <v>xɑjər</v>
      </c>
      <c r="E326" s="4" t="str">
        <f>VLOOKUP(E327,Vocabulary!$A:$B,2,FALSE)</f>
        <v>xamtʰ</v>
      </c>
      <c r="F326" s="4" t="str">
        <f>VLOOKUP(F327,Vocabulary!$A:$B,2,FALSE)</f>
        <v>jaβ(a)</v>
      </c>
      <c r="G326" s="4" t="str">
        <f>VLOOKUP(G327,Vocabulary!$A:$B,2,FALSE)</f>
        <v xml:space="preserve"> -ʧ</v>
      </c>
      <c r="H326" s="4" t="str">
        <f>VLOOKUP(H327,Vocabulary!$A:$B,2,FALSE)</f>
        <v>pæ:</v>
      </c>
      <c r="I326" s="4" t="str">
        <f>VLOOKUP(I327,Vocabulary!$A:$B,2,FALSE)</f>
        <v xml:space="preserve"> -n</v>
      </c>
    </row>
    <row r="327" spans="1:9" x14ac:dyDescent="0.25">
      <c r="A327" s="4" t="s">
        <v>744</v>
      </c>
      <c r="B327" s="32" t="s">
        <v>536</v>
      </c>
      <c r="C327" s="32" t="s">
        <v>714</v>
      </c>
      <c r="D327" s="32" t="s">
        <v>410</v>
      </c>
      <c r="E327" s="32" t="s">
        <v>747</v>
      </c>
      <c r="F327" s="32" t="s">
        <v>631</v>
      </c>
      <c r="G327" s="32" t="s">
        <v>1303</v>
      </c>
      <c r="H327" s="32" t="s">
        <v>386</v>
      </c>
      <c r="I327" s="32" t="s">
        <v>1305</v>
      </c>
    </row>
    <row r="328" spans="1:9" x14ac:dyDescent="0.25">
      <c r="B328" s="58" t="s">
        <v>749</v>
      </c>
      <c r="C328" s="58"/>
      <c r="D328" s="58"/>
      <c r="E328" s="58"/>
      <c r="F328" s="58"/>
      <c r="G328" s="58"/>
      <c r="H328" s="58"/>
      <c r="I328" s="58"/>
    </row>
    <row r="330" spans="1:9" x14ac:dyDescent="0.25">
      <c r="B330" s="4" t="str">
        <f>VLOOKUP(B331,Vocabulary!$A:$B,2,FALSE)</f>
        <v>pɑt</v>
      </c>
      <c r="C330" s="4" t="str">
        <f>VLOOKUP(C331,Vocabulary!$A:$B,2,FALSE)</f>
        <v>ʦʰɪʦke:</v>
      </c>
      <c r="D330" s="4" t="str">
        <f>VLOOKUP(D331,Vocabulary!$A:$B,2,FALSE)</f>
        <v xml:space="preserve"> -tʰe:</v>
      </c>
      <c r="E330" s="4" t="str">
        <f>VLOOKUP(E331,Vocabulary!$A:$B,2,FALSE)</f>
        <v>jaβ(a)</v>
      </c>
      <c r="F330" s="4" t="str">
        <f>VLOOKUP(F331,Vocabulary!$A:$B,2,FALSE)</f>
        <v xml:space="preserve"> -ʧ</v>
      </c>
      <c r="G330" s="4" t="str">
        <f>VLOOKUP(G331,Vocabulary!$A:$B,2,FALSE)</f>
        <v>pæ:</v>
      </c>
      <c r="H330" s="4" t="str">
        <f>VLOOKUP(H331,Vocabulary!$A:$B,2,FALSE)</f>
        <v xml:space="preserve"> -n</v>
      </c>
    </row>
    <row r="331" spans="1:9" x14ac:dyDescent="0.25">
      <c r="A331" s="4" t="s">
        <v>748</v>
      </c>
      <c r="B331" s="32" t="s">
        <v>536</v>
      </c>
      <c r="C331" s="32" t="s">
        <v>714</v>
      </c>
      <c r="D331" s="32" t="s">
        <v>751</v>
      </c>
      <c r="E331" s="32" t="s">
        <v>631</v>
      </c>
      <c r="F331" s="32" t="s">
        <v>1303</v>
      </c>
      <c r="G331" s="32" t="s">
        <v>386</v>
      </c>
      <c r="H331" s="32" t="s">
        <v>1305</v>
      </c>
    </row>
    <row r="332" spans="1:9" x14ac:dyDescent="0.25">
      <c r="B332" s="58" t="s">
        <v>749</v>
      </c>
      <c r="C332" s="58"/>
      <c r="D332" s="58"/>
      <c r="E332" s="58"/>
      <c r="F332" s="58"/>
      <c r="G332" s="58"/>
      <c r="H332" s="58"/>
      <c r="I332" s="58"/>
    </row>
    <row r="334" spans="1:9" x14ac:dyDescent="0.25">
      <c r="B334" s="4" t="str">
        <f>VLOOKUP(B335,Vocabulary!$A:$B,2,FALSE)</f>
        <v>pɑt</v>
      </c>
      <c r="C334" s="4" t="str">
        <f>VLOOKUP(C335,Vocabulary!$A:$B,2,FALSE)</f>
        <v>ʧarkaɬ</v>
      </c>
      <c r="D334" s="4" t="str">
        <f>VLOOKUP(D335,Vocabulary!$A:$B,2,FALSE)</f>
        <v xml:space="preserve"> -tʰæ:</v>
      </c>
      <c r="E334" s="4" t="str">
        <f>VLOOKUP(E335,Vocabulary!$A:$B,2,FALSE)</f>
        <v>pæ:</v>
      </c>
      <c r="F334" s="4" t="str">
        <f>VLOOKUP(F335,Vocabulary!$A:$B,2,FALSE)</f>
        <v xml:space="preserve"> -n</v>
      </c>
    </row>
    <row r="335" spans="1:9" x14ac:dyDescent="0.25">
      <c r="A335" s="4">
        <v>68</v>
      </c>
      <c r="B335" s="32" t="s">
        <v>536</v>
      </c>
      <c r="C335" s="23" t="s">
        <v>750</v>
      </c>
      <c r="D335" s="32" t="s">
        <v>759</v>
      </c>
      <c r="E335" s="32" t="s">
        <v>386</v>
      </c>
      <c r="F335" s="32" t="s">
        <v>1305</v>
      </c>
    </row>
    <row r="336" spans="1:9" x14ac:dyDescent="0.25">
      <c r="B336" s="58" t="s">
        <v>762</v>
      </c>
      <c r="C336" s="58"/>
      <c r="D336" s="58"/>
      <c r="E336" s="58"/>
    </row>
    <row r="338" spans="1:6" x14ac:dyDescent="0.25">
      <c r="B338" s="4" t="str">
        <f>VLOOKUP(B339,Vocabulary!$A:$B,2,FALSE)</f>
        <v>pɑt</v>
      </c>
      <c r="C338" s="4" t="str">
        <f>VLOOKUP(C339,Vocabulary!$A:$B,2,FALSE)</f>
        <v>pɑɬ</v>
      </c>
      <c r="D338" s="4" t="str">
        <f>VLOOKUP(D339,Vocabulary!$A:$B,2,FALSE)</f>
        <v>ʧarkaɬ</v>
      </c>
      <c r="E338" s="4" t="str">
        <f>VLOOKUP(E339,Vocabulary!$A:$B,2,FALSE)</f>
        <v xml:space="preserve"> -tʰæ:</v>
      </c>
      <c r="F338" s="4" t="str">
        <f>VLOOKUP(F339,Vocabulary!$A:$B,2,FALSE)</f>
        <v>xɨŋ</v>
      </c>
    </row>
    <row r="339" spans="1:6" x14ac:dyDescent="0.25">
      <c r="A339" s="4">
        <v>69</v>
      </c>
      <c r="B339" s="32" t="s">
        <v>536</v>
      </c>
      <c r="C339" s="32" t="s">
        <v>916</v>
      </c>
      <c r="D339" s="32" t="s">
        <v>750</v>
      </c>
      <c r="E339" s="32" t="s">
        <v>753</v>
      </c>
      <c r="F339" s="32" t="s">
        <v>776</v>
      </c>
    </row>
    <row r="340" spans="1:6" x14ac:dyDescent="0.25">
      <c r="B340" s="58" t="s">
        <v>777</v>
      </c>
      <c r="C340" s="58"/>
      <c r="D340" s="58"/>
      <c r="E340" s="58"/>
      <c r="F340" s="58"/>
    </row>
    <row r="342" spans="1:6" x14ac:dyDescent="0.25">
      <c r="B342" s="4" t="str">
        <f>VLOOKUP(B343,Vocabulary!$A:$B,2,FALSE)</f>
        <v>qɑ:</v>
      </c>
      <c r="C342" s="4" t="str">
        <f>VLOOKUP(C343,Vocabulary!$A:$B,2,FALSE)</f>
        <v>uʦɪsksɫɪŋ</v>
      </c>
    </row>
    <row r="343" spans="1:6" x14ac:dyDescent="0.25">
      <c r="A343" s="4">
        <v>70</v>
      </c>
      <c r="B343" s="32" t="s">
        <v>770</v>
      </c>
      <c r="C343" s="32" t="s">
        <v>769</v>
      </c>
    </row>
    <row r="344" spans="1:6" x14ac:dyDescent="0.25">
      <c r="B344" s="58" t="s">
        <v>772</v>
      </c>
      <c r="C344" s="58"/>
    </row>
    <row r="346" spans="1:6" x14ac:dyDescent="0.25">
      <c r="B346" s="4" t="str">
        <f>VLOOKUP(B347,Vocabulary!$A:$B,2,FALSE)</f>
        <v>ʦʰɪʦke:</v>
      </c>
      <c r="C346" s="4" t="str">
        <f>VLOOKUP(C347,Vocabulary!$A:$B,2,FALSE)</f>
        <v>pɑɬ</v>
      </c>
      <c r="D346" s="4" t="str">
        <f>VLOOKUP(D347,Vocabulary!$A:$B,2,FALSE)</f>
        <v>uʦɪsksɫɪŋ</v>
      </c>
      <c r="E346" s="4" t="str">
        <f>VLOOKUP(E347,Vocabulary!$A:$B,2,FALSE)</f>
        <v xml:space="preserve"> -tʰe:</v>
      </c>
      <c r="F346" s="4" t="str">
        <f>VLOOKUP(F347,Vocabulary!$A:$B,2,FALSE)</f>
        <v>puskɥi</v>
      </c>
    </row>
    <row r="347" spans="1:6" x14ac:dyDescent="0.25">
      <c r="A347" s="4">
        <v>71</v>
      </c>
      <c r="B347" s="32" t="s">
        <v>714</v>
      </c>
      <c r="C347" s="32" t="s">
        <v>916</v>
      </c>
      <c r="D347" s="32" t="s">
        <v>769</v>
      </c>
      <c r="E347" s="32" t="s">
        <v>751</v>
      </c>
      <c r="F347" s="32" t="s">
        <v>391</v>
      </c>
    </row>
    <row r="348" spans="1:6" x14ac:dyDescent="0.25">
      <c r="B348" s="58" t="s">
        <v>773</v>
      </c>
      <c r="C348" s="58"/>
      <c r="D348" s="58"/>
      <c r="E348" s="58"/>
      <c r="F348" s="58"/>
    </row>
    <row r="350" spans="1:6" x14ac:dyDescent="0.25">
      <c r="B350" s="4" t="str">
        <f>VLOOKUP(B351,Vocabulary!$A:$B,2,FALSE)</f>
        <v>pi</v>
      </c>
      <c r="C350" s="4" t="str">
        <f>VLOOKUP(C351,Vocabulary!$A:$B,2,FALSE)</f>
        <v>kɥ(i)</v>
      </c>
      <c r="D350" s="4" t="str">
        <f>VLOOKUP(D351,Vocabulary!$A:$B,2,FALSE)</f>
        <v xml:space="preserve"> -β</v>
      </c>
    </row>
    <row r="351" spans="1:6" x14ac:dyDescent="0.25">
      <c r="A351" s="4">
        <v>72</v>
      </c>
      <c r="B351" s="32" t="s">
        <v>932</v>
      </c>
      <c r="C351" s="32" t="s">
        <v>569</v>
      </c>
      <c r="D351" s="32" t="s">
        <v>682</v>
      </c>
    </row>
    <row r="352" spans="1:6" x14ac:dyDescent="0.25">
      <c r="B352" s="58" t="s">
        <v>778</v>
      </c>
      <c r="C352" s="58"/>
      <c r="D352" s="58"/>
    </row>
    <row r="354" spans="1:9" x14ac:dyDescent="0.25">
      <c r="B354" s="4" t="str">
        <f>VLOOKUP(B355,Vocabulary!$A:$B,2,FALSE)</f>
        <v>pit (nar)</v>
      </c>
      <c r="C354" s="4" t="str">
        <f>VLOOKUP(C355,Vocabulary!$A:$B,2,FALSE)</f>
        <v>kɥ(i)</v>
      </c>
      <c r="D354" s="4" t="str">
        <f>VLOOKUP(D355,Vocabulary!$A:$B,2,FALSE)</f>
        <v xml:space="preserve"> -β</v>
      </c>
    </row>
    <row r="355" spans="1:9" x14ac:dyDescent="0.25">
      <c r="A355" s="4">
        <v>73</v>
      </c>
      <c r="B355" s="32" t="s">
        <v>779</v>
      </c>
      <c r="C355" s="32" t="s">
        <v>569</v>
      </c>
      <c r="D355" s="32" t="s">
        <v>682</v>
      </c>
    </row>
    <row r="356" spans="1:9" x14ac:dyDescent="0.25">
      <c r="B356" s="58" t="s">
        <v>781</v>
      </c>
      <c r="C356" s="58"/>
      <c r="D356" s="58"/>
    </row>
    <row r="358" spans="1:9" x14ac:dyDescent="0.25">
      <c r="B358" s="4" t="str">
        <f>VLOOKUP(B359,Vocabulary!$A:$B,2,FALSE)</f>
        <v>ʧʰi</v>
      </c>
      <c r="C358" s="4" t="str">
        <f>VLOOKUP(C359,Vocabulary!$A:$B,2,FALSE)</f>
        <v>sæŋ</v>
      </c>
      <c r="D358" s="4" t="str">
        <f>VLOOKUP(D359,Vocabulary!$A:$B,2,FALSE)</f>
        <v>kɥ(i)</v>
      </c>
      <c r="E358" s="4" t="str">
        <f>VLOOKUP(E359,Vocabulary!$A:$B,2,FALSE)</f>
        <v xml:space="preserve"> -ɬe:</v>
      </c>
    </row>
    <row r="359" spans="1:9" x14ac:dyDescent="0.25">
      <c r="A359" s="4">
        <v>74</v>
      </c>
      <c r="B359" s="32" t="s">
        <v>740</v>
      </c>
      <c r="C359" s="32" t="s">
        <v>630</v>
      </c>
      <c r="D359" s="32" t="s">
        <v>569</v>
      </c>
      <c r="E359" s="32" t="s">
        <v>879</v>
      </c>
    </row>
    <row r="360" spans="1:9" x14ac:dyDescent="0.25">
      <c r="B360" s="58" t="str">
        <f>IF(B359="2sg (pol.)","You ran well. (pol.)","You ran well. (fam.)")</f>
        <v>You ran well. (fam.)</v>
      </c>
      <c r="C360" s="58"/>
      <c r="D360" s="58"/>
    </row>
    <row r="362" spans="1:9" x14ac:dyDescent="0.25">
      <c r="B362" s="4" t="str">
        <f>VLOOKUP(B363,Vocabulary!$A:$B,2,FALSE)</f>
        <v>pi</v>
      </c>
      <c r="C362" s="4" t="str">
        <f>VLOOKUP(C363,Vocabulary!$A:$B,2,FALSE)</f>
        <v>kɥ(i)</v>
      </c>
      <c r="D362" s="4" t="str">
        <f>VLOOKUP(D363,Vocabulary!$A:$B,2,FALSE)</f>
        <v xml:space="preserve"> -ʧɨx</v>
      </c>
      <c r="E362" s="4" t="str">
        <f>VLOOKUP(E363,Vocabulary!$A:$B,2,FALSE)</f>
        <v xml:space="preserve"> -sɨŋ</v>
      </c>
    </row>
    <row r="363" spans="1:9" x14ac:dyDescent="0.25">
      <c r="A363" s="4">
        <v>75</v>
      </c>
      <c r="B363" s="32" t="s">
        <v>932</v>
      </c>
      <c r="C363" s="32" t="s">
        <v>569</v>
      </c>
      <c r="D363" s="32" t="s">
        <v>685</v>
      </c>
      <c r="E363" s="32" t="s">
        <v>679</v>
      </c>
    </row>
    <row r="364" spans="1:9" x14ac:dyDescent="0.25">
      <c r="B364" s="58" t="s">
        <v>783</v>
      </c>
      <c r="C364" s="58"/>
      <c r="D364" s="58" t="s">
        <v>784</v>
      </c>
      <c r="E364" s="58"/>
      <c r="F364" s="58"/>
      <c r="G364" s="58"/>
      <c r="H364" s="58"/>
      <c r="I364" s="58"/>
    </row>
    <row r="366" spans="1:9" x14ac:dyDescent="0.25">
      <c r="B366" s="4" t="str">
        <f>VLOOKUP(B367,Vocabulary!$A:$B,2,FALSE)</f>
        <v>tʰɪt (nar)</v>
      </c>
      <c r="C366" s="4" t="str">
        <f>VLOOKUP(C367,Vocabulary!$A:$B,2,FALSE)</f>
        <v>kɥ(i)</v>
      </c>
      <c r="D366" s="4" t="str">
        <f>VLOOKUP(D367,Vocabulary!$A:$B,2,FALSE)</f>
        <v xml:space="preserve"> -β</v>
      </c>
    </row>
    <row r="367" spans="1:9" x14ac:dyDescent="0.25">
      <c r="A367" s="4">
        <v>76</v>
      </c>
      <c r="B367" s="32" t="s">
        <v>599</v>
      </c>
      <c r="C367" s="32" t="s">
        <v>569</v>
      </c>
      <c r="D367" s="32" t="s">
        <v>682</v>
      </c>
    </row>
    <row r="368" spans="1:9" x14ac:dyDescent="0.25">
      <c r="B368" s="58" t="s">
        <v>787</v>
      </c>
      <c r="C368" s="58"/>
      <c r="D368" s="58"/>
    </row>
    <row r="370" spans="1:8" x14ac:dyDescent="0.25">
      <c r="B370" s="4" t="str">
        <f>VLOOKUP(B371,Vocabulary!$A:$B,2,FALSE)</f>
        <v>tʰa (nar)</v>
      </c>
      <c r="C370" s="4" t="str">
        <f>VLOOKUP(C371,Vocabulary!$A:$B,2,FALSE)</f>
        <v>kɥ(i)</v>
      </c>
      <c r="D370" s="4" t="str">
        <f>VLOOKUP(D371,Vocabulary!$A:$B,2,FALSE)</f>
        <v xml:space="preserve"> -β</v>
      </c>
    </row>
    <row r="371" spans="1:8" x14ac:dyDescent="0.25">
      <c r="A371" s="4">
        <v>77</v>
      </c>
      <c r="B371" s="32" t="s">
        <v>785</v>
      </c>
      <c r="C371" s="32" t="s">
        <v>569</v>
      </c>
      <c r="D371" s="32" t="s">
        <v>682</v>
      </c>
    </row>
    <row r="372" spans="1:8" x14ac:dyDescent="0.25">
      <c r="B372" s="58" t="s">
        <v>788</v>
      </c>
      <c r="C372" s="58"/>
      <c r="D372" s="58"/>
      <c r="E372" s="58" t="s">
        <v>789</v>
      </c>
      <c r="F372" s="58"/>
      <c r="G372" s="58"/>
      <c r="H372" s="58"/>
    </row>
    <row r="374" spans="1:8" x14ac:dyDescent="0.25">
      <c r="B374" s="4" t="str">
        <f>VLOOKUP(B375,Vocabulary!$A:$B,2,FALSE)</f>
        <v>pɑt</v>
      </c>
      <c r="C374" s="4" t="str">
        <f>VLOOKUP(C375,Vocabulary!$A:$B,2,FALSE)</f>
        <v>xa:ɬəq</v>
      </c>
      <c r="D374" s="4" t="str">
        <f>VLOOKUP(D375,Vocabulary!$A:$B,2,FALSE)</f>
        <v>ɑŋkɶɬk(ɑ)</v>
      </c>
      <c r="E374" s="4" t="str">
        <f>VLOOKUP(E375,Vocabulary!$A:$B,2,FALSE)</f>
        <v xml:space="preserve"> -ʧɨx</v>
      </c>
      <c r="F374" s="4" t="str">
        <f>VLOOKUP(F375,Vocabulary!$A:$B,2,FALSE)</f>
        <v xml:space="preserve"> -sɨŋ</v>
      </c>
      <c r="G374" s="4" t="str">
        <f>VLOOKUP(G375,Vocabulary!$A:$B,2,FALSE)</f>
        <v>pæ:</v>
      </c>
      <c r="H374" s="4" t="str">
        <f>VLOOKUP(H375,Vocabulary!$A:$B,2,FALSE)</f>
        <v xml:space="preserve"> -sɨŋ</v>
      </c>
    </row>
    <row r="375" spans="1:8" x14ac:dyDescent="0.25">
      <c r="A375" s="4">
        <v>78</v>
      </c>
      <c r="B375" s="32" t="s">
        <v>536</v>
      </c>
      <c r="C375" s="32" t="s">
        <v>790</v>
      </c>
      <c r="D375" s="32" t="s">
        <v>840</v>
      </c>
      <c r="E375" s="32" t="s">
        <v>685</v>
      </c>
      <c r="F375" s="32" t="s">
        <v>679</v>
      </c>
      <c r="G375" s="32" t="s">
        <v>386</v>
      </c>
      <c r="H375" s="32" t="s">
        <v>679</v>
      </c>
    </row>
    <row r="376" spans="1:8" x14ac:dyDescent="0.25">
      <c r="B376" s="58" t="s">
        <v>792</v>
      </c>
      <c r="C376" s="58"/>
      <c r="D376" s="58"/>
      <c r="E376" s="58"/>
    </row>
    <row r="378" spans="1:8" x14ac:dyDescent="0.25">
      <c r="B378" s="4" t="str">
        <f>VLOOKUP(B379,Vocabulary!$A:$B,2,FALSE)</f>
        <v>xa:ɬəq</v>
      </c>
      <c r="C378" s="4" t="str">
        <f>VLOOKUP(C379,Vocabulary!$A:$B,2,FALSE)</f>
        <v>ɑŋkɶrxɶ</v>
      </c>
      <c r="D378" s="4" t="str">
        <f>VLOOKUP(D379,Vocabulary!$A:$B,2,FALSE)</f>
        <v>pæ:</v>
      </c>
      <c r="E378" s="4" t="str">
        <f>VLOOKUP(E379,Vocabulary!$A:$B,2,FALSE)</f>
        <v xml:space="preserve"> -sɨŋ</v>
      </c>
    </row>
    <row r="379" spans="1:8" x14ac:dyDescent="0.25">
      <c r="A379" s="4">
        <v>79</v>
      </c>
      <c r="B379" s="32" t="s">
        <v>790</v>
      </c>
      <c r="C379" s="23" t="s">
        <v>794</v>
      </c>
      <c r="D379" s="32" t="s">
        <v>386</v>
      </c>
      <c r="E379" s="32" t="s">
        <v>679</v>
      </c>
    </row>
    <row r="380" spans="1:8" x14ac:dyDescent="0.25">
      <c r="B380" s="58" t="str">
        <f>IF(E379="NPST", "The door is open.", "The door was open.")</f>
        <v>The door was open.</v>
      </c>
      <c r="C380" s="58"/>
      <c r="D380" s="58"/>
    </row>
    <row r="382" spans="1:8" x14ac:dyDescent="0.25">
      <c r="B382" s="4" t="str">
        <f>VLOOKUP(B383,Vocabulary!$A:$B,2,FALSE)</f>
        <v>ɑŋkɶrxɶ</v>
      </c>
      <c r="C382" s="4" t="str">
        <f>VLOOKUP(C383,Vocabulary!$A:$B,2,FALSE)</f>
        <v>xa:ɬəq</v>
      </c>
    </row>
    <row r="383" spans="1:8" x14ac:dyDescent="0.25">
      <c r="A383" s="4">
        <v>80</v>
      </c>
      <c r="B383" s="32" t="s">
        <v>794</v>
      </c>
      <c r="C383" s="32" t="s">
        <v>790</v>
      </c>
    </row>
    <row r="384" spans="1:8" x14ac:dyDescent="0.25">
      <c r="B384" s="58" t="s">
        <v>797</v>
      </c>
      <c r="C384" s="58"/>
    </row>
    <row r="386" spans="1:9" x14ac:dyDescent="0.25">
      <c r="B386" s="4" t="str">
        <f>VLOOKUP(B387,Vocabulary!$A:$B,2,FALSE)</f>
        <v>xa:ɬəq</v>
      </c>
      <c r="C386" s="4" t="str">
        <f>VLOOKUP(C387,Vocabulary!$A:$B,2,FALSE)</f>
        <v>ɑŋk(ɶ)</v>
      </c>
      <c r="D386" s="4" t="str">
        <f>VLOOKUP(D387,Vocabulary!$A:$B,2,FALSE)</f>
        <v xml:space="preserve"> -x</v>
      </c>
      <c r="E386" s="4" t="str">
        <f>VLOOKUP(E387,Vocabulary!$A:$B,2,FALSE)</f>
        <v>ɥɪ</v>
      </c>
      <c r="F386" s="4" t="str">
        <f>VLOOKUP(F387,Vocabulary!$A:$B,2,FALSE)</f>
        <v xml:space="preserve"> -(n)t</v>
      </c>
      <c r="G386" s="4" t="str">
        <f>VLOOKUP(G387,Vocabulary!$A:$B,2,FALSE)</f>
        <v>pɑt</v>
      </c>
      <c r="H386" s="4" t="str">
        <f>VLOOKUP(H387,Vocabulary!$A:$B,2,FALSE)</f>
        <v>kɥ(i)</v>
      </c>
      <c r="I386" s="4" t="str">
        <f>VLOOKUP(I387,Vocabulary!$A:$B,2,FALSE)</f>
        <v xml:space="preserve"> -β</v>
      </c>
    </row>
    <row r="387" spans="1:9" x14ac:dyDescent="0.25">
      <c r="A387" s="4">
        <v>81</v>
      </c>
      <c r="B387" s="32" t="s">
        <v>790</v>
      </c>
      <c r="C387" s="34" t="s">
        <v>841</v>
      </c>
      <c r="D387" s="35" t="s">
        <v>368</v>
      </c>
      <c r="E387" s="32" t="s">
        <v>798</v>
      </c>
      <c r="F387" s="32" t="s">
        <v>606</v>
      </c>
      <c r="G387" s="32" t="s">
        <v>536</v>
      </c>
      <c r="H387" s="32" t="s">
        <v>569</v>
      </c>
      <c r="I387" s="32" t="s">
        <v>682</v>
      </c>
    </row>
    <row r="388" spans="1:9" x14ac:dyDescent="0.25">
      <c r="B388" s="58" t="s">
        <v>801</v>
      </c>
      <c r="C388" s="58"/>
      <c r="D388" s="58"/>
      <c r="E388" s="58"/>
    </row>
    <row r="390" spans="1:9" x14ac:dyDescent="0.25">
      <c r="B390" s="4" t="str">
        <f>VLOOKUP(B391,Vocabulary!$A:$B,2,FALSE)</f>
        <v>pi</v>
      </c>
      <c r="C390" s="4" t="str">
        <f>VLOOKUP(C391,Vocabulary!$A:$B,2,FALSE)</f>
        <v>ʊtʊr</v>
      </c>
      <c r="D390" s="4" t="str">
        <f>VLOOKUP(D391,Vocabulary!$A:$B,2,FALSE)</f>
        <v>bur</v>
      </c>
      <c r="E390" s="4" t="str">
        <f>VLOOKUP(E391,Vocabulary!$A:$B,2,FALSE)</f>
        <v>pota:</v>
      </c>
      <c r="F390" s="4" t="str">
        <f>VLOOKUP(F391,Vocabulary!$A:$B,2,FALSE)</f>
        <v>it(ɪ)</v>
      </c>
      <c r="G390" s="4" t="str">
        <f>VLOOKUP(G391,Vocabulary!$A:$B,2,FALSE)</f>
        <v xml:space="preserve"> -tɨk</v>
      </c>
    </row>
    <row r="391" spans="1:9" x14ac:dyDescent="0.25">
      <c r="A391" s="4">
        <v>82</v>
      </c>
      <c r="B391" s="32" t="s">
        <v>932</v>
      </c>
      <c r="C391" s="32" t="s">
        <v>805</v>
      </c>
      <c r="D391" s="32" t="s">
        <v>806</v>
      </c>
      <c r="E391" s="32" t="s">
        <v>618</v>
      </c>
      <c r="F391" s="32" t="s">
        <v>580</v>
      </c>
      <c r="G391" s="32" t="s">
        <v>1226</v>
      </c>
    </row>
    <row r="392" spans="1:9" x14ac:dyDescent="0.25">
      <c r="B392" s="58" t="s">
        <v>807</v>
      </c>
      <c r="C392" s="58"/>
      <c r="D392" s="58"/>
      <c r="E392" s="58"/>
    </row>
    <row r="394" spans="1:9" x14ac:dyDescent="0.25">
      <c r="B394" s="4" t="str">
        <f>VLOOKUP(B395,Vocabulary!$A:$B,2,FALSE)</f>
        <v>pɑt</v>
      </c>
      <c r="C394" s="4" t="str">
        <f>VLOOKUP(C395,Vocabulary!$A:$B,2,FALSE)</f>
        <v>ʦʰɪʦke:</v>
      </c>
      <c r="D394" s="4" t="str">
        <f>VLOOKUP(D395,Vocabulary!$A:$B,2,FALSE)</f>
        <v xml:space="preserve"> -tʰe:</v>
      </c>
      <c r="E394" s="4" t="str">
        <f>VLOOKUP(E395,Vocabulary!$A:$B,2,FALSE)</f>
        <v>jɛɾ(ɪ)</v>
      </c>
      <c r="F394" s="4" t="str">
        <f>VLOOKUP(F395,Vocabulary!$A:$B,2,FALSE)</f>
        <v xml:space="preserve"> -tɨk</v>
      </c>
    </row>
    <row r="395" spans="1:9" x14ac:dyDescent="0.25">
      <c r="A395" s="4">
        <v>83</v>
      </c>
      <c r="B395" s="32" t="s">
        <v>536</v>
      </c>
      <c r="C395" s="32" t="s">
        <v>714</v>
      </c>
      <c r="D395" s="32" t="s">
        <v>751</v>
      </c>
      <c r="E395" s="32" t="s">
        <v>712</v>
      </c>
      <c r="F395" s="32" t="s">
        <v>1226</v>
      </c>
    </row>
    <row r="396" spans="1:9" x14ac:dyDescent="0.25">
      <c r="B396" s="58" t="s">
        <v>808</v>
      </c>
      <c r="C396" s="58"/>
      <c r="D396" s="58"/>
      <c r="E396" s="58"/>
    </row>
    <row r="398" spans="1:9" x14ac:dyDescent="0.25">
      <c r="B398" s="59" t="s">
        <v>810</v>
      </c>
      <c r="C398" s="59"/>
      <c r="D398" s="59"/>
      <c r="E398" s="59"/>
      <c r="F398" s="59"/>
      <c r="G398" s="59"/>
      <c r="H398" s="59"/>
    </row>
    <row r="399" spans="1:9" x14ac:dyDescent="0.25">
      <c r="B399" s="4" t="str">
        <f>VLOOKUP(B400,Vocabulary!$A:$B,2,FALSE)</f>
        <v>xa:ɬəq</v>
      </c>
      <c r="C399" s="4" t="str">
        <f>VLOOKUP(C400,Vocabulary!$A:$B,2,FALSE)</f>
        <v>ɑŋk(ɶ)</v>
      </c>
      <c r="D399" s="4" t="str">
        <f>VLOOKUP(D400,Vocabulary!$A:$B,2,FALSE)</f>
        <v xml:space="preserve"> -β</v>
      </c>
    </row>
    <row r="400" spans="1:9" x14ac:dyDescent="0.25">
      <c r="A400" s="4">
        <v>84</v>
      </c>
      <c r="B400" s="35" t="s">
        <v>790</v>
      </c>
      <c r="C400" s="35" t="s">
        <v>841</v>
      </c>
      <c r="D400" s="35" t="s">
        <v>682</v>
      </c>
    </row>
    <row r="401" spans="1:7" x14ac:dyDescent="0.25">
      <c r="B401" s="58" t="s">
        <v>811</v>
      </c>
      <c r="C401" s="58"/>
      <c r="D401" s="58"/>
    </row>
    <row r="403" spans="1:7" x14ac:dyDescent="0.25">
      <c r="B403" s="4" t="str">
        <f>VLOOKUP(B404,Vocabulary!$A:$B,2,FALSE)</f>
        <v>pi</v>
      </c>
      <c r="C403" s="4" t="str">
        <f>VLOOKUP(C404,Vocabulary!$A:$B,2,FALSE)</f>
        <v>xa:ɬəq</v>
      </c>
      <c r="D403" s="4" t="str">
        <f>VLOOKUP(D404,Vocabulary!$A:$B,2,FALSE)</f>
        <v>ɑŋkɶɬk(ɑ)</v>
      </c>
      <c r="E403" s="4" t="str">
        <f>VLOOKUP(E404,Vocabulary!$A:$B,2,FALSE)</f>
        <v xml:space="preserve"> -mɔr</v>
      </c>
      <c r="F403" s="4" t="str">
        <f>VLOOKUP(F404,Vocabulary!$A:$B,2,FALSE)</f>
        <v>pæ:</v>
      </c>
      <c r="G403" s="4" t="str">
        <f>VLOOKUP(G404,Vocabulary!$A:$B,2,FALSE)</f>
        <v xml:space="preserve"> -n</v>
      </c>
    </row>
    <row r="404" spans="1:7" x14ac:dyDescent="0.25">
      <c r="A404" s="4">
        <v>85</v>
      </c>
      <c r="B404" s="35" t="s">
        <v>932</v>
      </c>
      <c r="C404" s="35" t="s">
        <v>790</v>
      </c>
      <c r="D404" s="35" t="s">
        <v>840</v>
      </c>
      <c r="E404" s="35" t="s">
        <v>1048</v>
      </c>
      <c r="F404" s="35" t="s">
        <v>386</v>
      </c>
      <c r="G404" s="35" t="s">
        <v>1305</v>
      </c>
    </row>
    <row r="405" spans="1:7" x14ac:dyDescent="0.25">
      <c r="B405" s="58" t="s">
        <v>814</v>
      </c>
      <c r="C405" s="58"/>
      <c r="D405" s="58"/>
      <c r="E405" s="58"/>
      <c r="F405" s="58"/>
    </row>
    <row r="407" spans="1:7" x14ac:dyDescent="0.25">
      <c r="B407" s="4" t="str">
        <f>VLOOKUP(B408,Vocabulary!$A:$B,2,FALSE)</f>
        <v>ɪn</v>
      </c>
      <c r="C407" s="4" t="str">
        <f>VLOOKUP(C408,Vocabulary!$A:$B,2,FALSE)</f>
        <v>ʦaɬo</v>
      </c>
      <c r="D407" s="4" t="str">
        <f>VLOOKUP(D408,Vocabulary!$A:$B,2,FALSE)</f>
        <v>pɑɬ</v>
      </c>
      <c r="E407" s="4" t="str">
        <f>VLOOKUP(E408,Vocabulary!$A:$B,2,FALSE)</f>
        <v>ɔrxi:n</v>
      </c>
      <c r="F407" s="4" t="str">
        <f>VLOOKUP(F408,Vocabulary!$A:$B,2,FALSE)</f>
        <v>tʰɑɬʁə</v>
      </c>
    </row>
    <row r="408" spans="1:7" x14ac:dyDescent="0.25">
      <c r="A408" s="4">
        <v>86</v>
      </c>
      <c r="B408" s="35" t="s">
        <v>438</v>
      </c>
      <c r="C408" s="35" t="s">
        <v>392</v>
      </c>
      <c r="D408" s="35" t="s">
        <v>916</v>
      </c>
      <c r="E408" s="23" t="s">
        <v>818</v>
      </c>
      <c r="F408" s="35" t="s">
        <v>815</v>
      </c>
    </row>
    <row r="409" spans="1:7" x14ac:dyDescent="0.25">
      <c r="B409" s="58" t="s">
        <v>822</v>
      </c>
      <c r="C409" s="58"/>
      <c r="D409" s="58"/>
      <c r="E409" s="58"/>
    </row>
    <row r="411" spans="1:7" x14ac:dyDescent="0.25">
      <c r="B411" s="4" t="str">
        <f>VLOOKUP(B412,Vocabulary!$A:$B,2,FALSE)</f>
        <v>tʰɪr</v>
      </c>
      <c r="C411" s="4" t="str">
        <f>VLOOKUP(C412,Vocabulary!$A:$B,2,FALSE)</f>
        <v>puskɥi</v>
      </c>
      <c r="D411" s="4" t="str">
        <f>VLOOKUP(D412,Vocabulary!$A:$B,2,FALSE)</f>
        <v>xjɛtʰat</v>
      </c>
      <c r="E411" s="4" t="str">
        <f>VLOOKUP(E412,Vocabulary!$A:$B,2,FALSE)</f>
        <v xml:space="preserve"> -t</v>
      </c>
      <c r="F411" s="4" t="str">
        <f>VLOOKUP(F412,Vocabulary!$A:$B,2,FALSE)</f>
        <v>pæ:</v>
      </c>
      <c r="G411" s="4" t="str">
        <f>VLOOKUP(G412,Vocabulary!$A:$B,2,FALSE)</f>
        <v xml:space="preserve"> -tɨk</v>
      </c>
    </row>
    <row r="412" spans="1:7" x14ac:dyDescent="0.25">
      <c r="A412" s="4">
        <v>87</v>
      </c>
      <c r="B412" s="35" t="s">
        <v>962</v>
      </c>
      <c r="C412" s="35" t="s">
        <v>391</v>
      </c>
      <c r="D412" s="35" t="s">
        <v>823</v>
      </c>
      <c r="E412" s="35" t="s">
        <v>418</v>
      </c>
      <c r="F412" s="35" t="s">
        <v>386</v>
      </c>
      <c r="G412" s="35" t="s">
        <v>1226</v>
      </c>
    </row>
    <row r="413" spans="1:7" x14ac:dyDescent="0.25">
      <c r="B413" s="58" t="str">
        <f>IF(F412="is", "She is in China [permanently]", "She lives in China.")</f>
        <v>She is in China [permanently]</v>
      </c>
      <c r="C413" s="58"/>
      <c r="D413" s="58"/>
      <c r="E413" s="58"/>
    </row>
    <row r="415" spans="1:7" x14ac:dyDescent="0.25">
      <c r="B415" s="4" t="str">
        <f>VLOOKUP(B416,Vocabulary!$A:$B,2,FALSE)</f>
        <v>tʰɪr</v>
      </c>
      <c r="C415" s="4" t="str">
        <f>VLOOKUP(C416,Vocabulary!$A:$B,2,FALSE)</f>
        <v>puskɥi</v>
      </c>
      <c r="D415" s="4" t="str">
        <f>VLOOKUP(D416,Vocabulary!$A:$B,2,FALSE)</f>
        <v>xjɛtʰat</v>
      </c>
      <c r="E415" s="4" t="str">
        <f>VLOOKUP(E416,Vocabulary!$A:$B,2,FALSE)</f>
        <v xml:space="preserve"> -t</v>
      </c>
      <c r="F415" s="4" t="str">
        <f>VLOOKUP(F416,Vocabulary!$A:$B,2,FALSE)</f>
        <v>pæ:</v>
      </c>
      <c r="G415" s="4" t="str">
        <f>VLOOKUP(G416,Vocabulary!$A:$B,2,FALSE)</f>
        <v xml:space="preserve"> -n</v>
      </c>
    </row>
    <row r="416" spans="1:7" x14ac:dyDescent="0.25">
      <c r="A416" s="4">
        <v>88</v>
      </c>
      <c r="B416" s="35" t="s">
        <v>962</v>
      </c>
      <c r="C416" s="35" t="s">
        <v>391</v>
      </c>
      <c r="D416" s="35" t="s">
        <v>823</v>
      </c>
      <c r="E416" s="35" t="s">
        <v>418</v>
      </c>
      <c r="F416" s="35" t="s">
        <v>386</v>
      </c>
      <c r="G416" s="35" t="s">
        <v>1305</v>
      </c>
    </row>
    <row r="417" spans="1:11" x14ac:dyDescent="0.25">
      <c r="B417" s="58" t="s">
        <v>827</v>
      </c>
      <c r="C417" s="58"/>
      <c r="D417" s="58"/>
    </row>
    <row r="419" spans="1:11" x14ac:dyDescent="0.25">
      <c r="B419" s="4" t="str">
        <f>VLOOKUP(B420,Vocabulary!$A:$B,2,FALSE)</f>
        <v>ɔs</v>
      </c>
      <c r="C419" s="4" t="str">
        <f>VLOOKUP(C420,Vocabulary!$A:$B,2,FALSE)</f>
        <v xml:space="preserve"> -ni</v>
      </c>
      <c r="D419" s="4" t="str">
        <f>VLOOKUP(D420,Vocabulary!$A:$B,2,FALSE)</f>
        <v>ʃiɬ</v>
      </c>
      <c r="E419" s="4" t="str">
        <f>VLOOKUP(E420,Vocabulary!$A:$B,2,FALSE)</f>
        <v xml:space="preserve"> -in</v>
      </c>
      <c r="F419" s="4" t="str">
        <f>VLOOKUP(F420,Vocabulary!$A:$B,2,FALSE)</f>
        <v>saβ</v>
      </c>
      <c r="G419" s="4" t="str">
        <f>VLOOKUP(G420,Vocabulary!$A:$B,2,FALSE)</f>
        <v>хаkаr(a)</v>
      </c>
      <c r="H419" s="4" t="str">
        <f>VLOOKUP(H420,Vocabulary!$A:$B,2,FALSE)</f>
        <v xml:space="preserve"> -β</v>
      </c>
    </row>
    <row r="420" spans="1:11" x14ac:dyDescent="0.25">
      <c r="A420" s="4" t="s">
        <v>830</v>
      </c>
      <c r="B420" s="35" t="s">
        <v>403</v>
      </c>
      <c r="C420" s="35" t="s">
        <v>374</v>
      </c>
      <c r="D420" s="35" t="s">
        <v>828</v>
      </c>
      <c r="E420" s="35" t="s">
        <v>411</v>
      </c>
      <c r="F420" s="35" t="s">
        <v>829</v>
      </c>
      <c r="G420" s="35" t="s">
        <v>842</v>
      </c>
      <c r="H420" s="35" t="s">
        <v>682</v>
      </c>
    </row>
    <row r="421" spans="1:11" x14ac:dyDescent="0.25">
      <c r="B421" s="58" t="s">
        <v>846</v>
      </c>
      <c r="C421" s="58"/>
      <c r="D421" s="58"/>
      <c r="E421" s="58"/>
      <c r="F421" s="58"/>
    </row>
    <row r="423" spans="1:11" x14ac:dyDescent="0.25">
      <c r="B423" s="4" t="str">
        <f>VLOOKUP(B424,Vocabulary!$A:$B,2,FALSE)</f>
        <v>ɔs</v>
      </c>
      <c r="C423" s="4" t="str">
        <f>VLOOKUP(C424,Vocabulary!$A:$B,2,FALSE)</f>
        <v xml:space="preserve"> -ni</v>
      </c>
      <c r="D423" s="4" t="str">
        <f>VLOOKUP(D424,Vocabulary!$A:$B,2,FALSE)</f>
        <v>ʃiɬ</v>
      </c>
      <c r="E423" s="4" t="str">
        <f>VLOOKUP(E424,Vocabulary!$A:$B,2,FALSE)</f>
        <v xml:space="preserve"> -in</v>
      </c>
      <c r="F423" s="4" t="str">
        <f>VLOOKUP(F424,Vocabulary!$A:$B,2,FALSE)</f>
        <v>saβ</v>
      </c>
      <c r="G423" s="4" t="str">
        <f>VLOOKUP(G424,Vocabulary!$A:$B,2,FALSE)</f>
        <v>хаkаr(a)</v>
      </c>
      <c r="H423" s="4" t="str">
        <f>VLOOKUP(H424,Vocabulary!$A:$B,2,FALSE)</f>
        <v xml:space="preserve"> -ʧax</v>
      </c>
      <c r="I423" s="4" t="str">
        <f>VLOOKUP(I424,Vocabulary!$A:$B,2,FALSE)</f>
        <v xml:space="preserve"> -saŋ</v>
      </c>
      <c r="J423" s="4" t="str">
        <f>VLOOKUP(J424,Vocabulary!$A:$B,2,FALSE)</f>
        <v>pæ:</v>
      </c>
      <c r="K423" s="4" t="str">
        <f>VLOOKUP(K424,Vocabulary!$A:$B,2,FALSE)</f>
        <v xml:space="preserve"> -ɬa:</v>
      </c>
    </row>
    <row r="424" spans="1:11" x14ac:dyDescent="0.25">
      <c r="A424" s="4" t="s">
        <v>831</v>
      </c>
      <c r="B424" s="35" t="s">
        <v>403</v>
      </c>
      <c r="C424" s="35" t="s">
        <v>374</v>
      </c>
      <c r="D424" s="35" t="s">
        <v>828</v>
      </c>
      <c r="E424" s="35" t="s">
        <v>411</v>
      </c>
      <c r="F424" s="35" t="s">
        <v>829</v>
      </c>
      <c r="G424" s="35" t="s">
        <v>842</v>
      </c>
      <c r="H424" s="35" t="s">
        <v>686</v>
      </c>
      <c r="I424" s="35" t="s">
        <v>678</v>
      </c>
      <c r="J424" s="35" t="s">
        <v>386</v>
      </c>
      <c r="K424" s="35" t="s">
        <v>878</v>
      </c>
    </row>
    <row r="425" spans="1:11" x14ac:dyDescent="0.25">
      <c r="B425" s="58" t="s">
        <v>848</v>
      </c>
      <c r="C425" s="58"/>
      <c r="D425" s="58"/>
      <c r="E425" s="58"/>
      <c r="F425" s="58"/>
      <c r="G425" s="58"/>
      <c r="H425" s="58"/>
    </row>
    <row r="427" spans="1:11" x14ac:dyDescent="0.25">
      <c r="B427" s="4" t="str">
        <f>VLOOKUP(B428,Vocabulary!$A:$B,2,FALSE)</f>
        <v>pi</v>
      </c>
      <c r="C427" s="4" t="str">
        <f>VLOOKUP(C428,Vocabulary!$A:$B,2,FALSE)</f>
        <v>ɔs</v>
      </c>
      <c r="D427" s="4" t="str">
        <f>VLOOKUP(D428,Vocabulary!$A:$B,2,FALSE)</f>
        <v xml:space="preserve"> -ni</v>
      </c>
      <c r="E427" s="4" t="str">
        <f>VLOOKUP(E428,Vocabulary!$A:$B,2,FALSE)</f>
        <v>ʃiɬ</v>
      </c>
      <c r="F427" s="4" t="str">
        <f>VLOOKUP(F428,Vocabulary!$A:$B,2,FALSE)</f>
        <v xml:space="preserve"> -in</v>
      </c>
      <c r="G427" s="4" t="str">
        <f>VLOOKUP(G428,Vocabulary!$A:$B,2,FALSE)</f>
        <v>saβ</v>
      </c>
      <c r="H427" s="4" t="str">
        <f>VLOOKUP(H428,Vocabulary!$A:$B,2,FALSE)</f>
        <v>хаkаɬ(а)</v>
      </c>
      <c r="I427" s="15" t="str">
        <f>VLOOKUP(I428,Vocabulary!$A:$B,2,FALSE)</f>
        <v xml:space="preserve"> -β</v>
      </c>
    </row>
    <row r="428" spans="1:11" x14ac:dyDescent="0.25">
      <c r="A428" s="4" t="s">
        <v>851</v>
      </c>
      <c r="B428" s="35" t="s">
        <v>932</v>
      </c>
      <c r="C428" s="35" t="s">
        <v>403</v>
      </c>
      <c r="D428" s="35" t="s">
        <v>374</v>
      </c>
      <c r="E428" s="35" t="s">
        <v>828</v>
      </c>
      <c r="F428" s="35" t="s">
        <v>411</v>
      </c>
      <c r="G428" s="35" t="s">
        <v>829</v>
      </c>
      <c r="H428" s="35" t="s">
        <v>847</v>
      </c>
      <c r="I428" s="35" t="s">
        <v>682</v>
      </c>
    </row>
    <row r="429" spans="1:11" x14ac:dyDescent="0.25">
      <c r="B429" s="58" t="s">
        <v>853</v>
      </c>
      <c r="C429" s="58"/>
      <c r="D429" s="58"/>
      <c r="E429" s="58"/>
    </row>
    <row r="431" spans="1:11" x14ac:dyDescent="0.25">
      <c r="B431" s="4" t="str">
        <f>VLOOKUP(B432,Vocabulary!$A:$B,2,FALSE)</f>
        <v>pi</v>
      </c>
      <c r="C431" s="4" t="str">
        <f>VLOOKUP(C432,Vocabulary!$A:$B,2,FALSE)</f>
        <v>ɔs</v>
      </c>
      <c r="D431" s="4" t="str">
        <f>VLOOKUP(D432,Vocabulary!$A:$B,2,FALSE)</f>
        <v xml:space="preserve"> -ni</v>
      </c>
      <c r="E431" s="4" t="str">
        <f>VLOOKUP(E432,Vocabulary!$A:$B,2,FALSE)</f>
        <v>ʃiɬ</v>
      </c>
      <c r="F431" s="4" t="str">
        <f>VLOOKUP(F432,Vocabulary!$A:$B,2,FALSE)</f>
        <v xml:space="preserve"> -in</v>
      </c>
      <c r="G431" s="4" t="str">
        <f>VLOOKUP(G432,Vocabulary!$A:$B,2,FALSE)</f>
        <v>saβ</v>
      </c>
      <c r="H431" s="4" t="str">
        <f>VLOOKUP(H432,Vocabulary!$A:$B,2,FALSE)</f>
        <v>хаkаɬ(а)</v>
      </c>
      <c r="I431" s="4" t="str">
        <f>VLOOKUP(I432,Vocabulary!$A:$B,2,FALSE)</f>
        <v xml:space="preserve"> -ʧɨx</v>
      </c>
      <c r="J431" s="4" t="str">
        <f>VLOOKUP(J432,Vocabulary!$A:$B,2,FALSE)</f>
        <v xml:space="preserve"> -ɬa:</v>
      </c>
    </row>
    <row r="432" spans="1:11" x14ac:dyDescent="0.25">
      <c r="A432" s="4" t="s">
        <v>852</v>
      </c>
      <c r="B432" s="35" t="s">
        <v>932</v>
      </c>
      <c r="C432" s="35" t="s">
        <v>403</v>
      </c>
      <c r="D432" s="35" t="s">
        <v>374</v>
      </c>
      <c r="E432" s="35" t="s">
        <v>828</v>
      </c>
      <c r="F432" s="35" t="s">
        <v>411</v>
      </c>
      <c r="G432" s="35" t="s">
        <v>829</v>
      </c>
      <c r="H432" s="35" t="s">
        <v>847</v>
      </c>
      <c r="I432" s="23" t="s">
        <v>685</v>
      </c>
      <c r="J432" s="35" t="s">
        <v>878</v>
      </c>
    </row>
    <row r="433" spans="1:10" x14ac:dyDescent="0.25">
      <c r="B433" s="58" t="s">
        <v>856</v>
      </c>
      <c r="C433" s="58"/>
      <c r="D433" s="58"/>
      <c r="E433" s="58"/>
      <c r="F433" s="58"/>
    </row>
    <row r="435" spans="1:10" x14ac:dyDescent="0.25">
      <c r="B435" s="4" t="str">
        <f>VLOOKUP(B436,Vocabulary!$A:$B,2,FALSE)</f>
        <v>pɑt</v>
      </c>
      <c r="C435" s="4" t="str">
        <f>VLOOKUP(C436,Vocabulary!$A:$B,2,FALSE)</f>
        <v>ɔs</v>
      </c>
      <c r="D435" s="4" t="str">
        <f>VLOOKUP(D436,Vocabulary!$A:$B,2,FALSE)</f>
        <v xml:space="preserve"> -ni</v>
      </c>
      <c r="E435" s="4" t="str">
        <f>VLOOKUP(E436,Vocabulary!$A:$B,2,FALSE)</f>
        <v>ʃiɬ</v>
      </c>
      <c r="F435" s="4" t="str">
        <f>VLOOKUP(F436,Vocabulary!$A:$B,2,FALSE)</f>
        <v xml:space="preserve"> -in</v>
      </c>
      <c r="G435" s="4" t="str">
        <f>VLOOKUP(G436,Vocabulary!$A:$B,2,FALSE)</f>
        <v>saβ</v>
      </c>
      <c r="H435" s="4" t="str">
        <f>VLOOKUP(H436,Vocabulary!$A:$B,2,FALSE)</f>
        <v>хаkаɬ(а)</v>
      </c>
      <c r="I435" s="4" t="str">
        <f>VLOOKUP(I436,Vocabulary!$A:$B,2,FALSE)</f>
        <v xml:space="preserve"> -ʧɨx</v>
      </c>
      <c r="J435" s="4" t="str">
        <f>VLOOKUP(J436,Vocabulary!$A:$B,2,FALSE)</f>
        <v xml:space="preserve"> -ɬa:</v>
      </c>
    </row>
    <row r="436" spans="1:10" x14ac:dyDescent="0.25">
      <c r="A436" s="4">
        <v>91</v>
      </c>
      <c r="B436" s="35" t="s">
        <v>536</v>
      </c>
      <c r="C436" s="35" t="s">
        <v>403</v>
      </c>
      <c r="D436" s="35" t="s">
        <v>374</v>
      </c>
      <c r="E436" s="35" t="s">
        <v>828</v>
      </c>
      <c r="F436" s="35" t="s">
        <v>411</v>
      </c>
      <c r="G436" s="35" t="s">
        <v>829</v>
      </c>
      <c r="H436" s="35" t="s">
        <v>847</v>
      </c>
      <c r="I436" s="23" t="s">
        <v>685</v>
      </c>
      <c r="J436" s="35" t="s">
        <v>878</v>
      </c>
    </row>
    <row r="437" spans="1:10" x14ac:dyDescent="0.25">
      <c r="B437" s="58" t="s">
        <v>855</v>
      </c>
      <c r="C437" s="58"/>
      <c r="D437" s="58"/>
      <c r="E437" s="58"/>
      <c r="F437" s="58"/>
    </row>
    <row r="439" spans="1:10" x14ac:dyDescent="0.25">
      <c r="B439" s="4" t="str">
        <f>VLOOKUP(B440,Vocabulary!$A:$B,2,FALSE)</f>
        <v>xaranda:</v>
      </c>
      <c r="C439" s="4" t="str">
        <f>VLOOKUP(C440,Vocabulary!$A:$B,2,FALSE)</f>
        <v>xokar(a)</v>
      </c>
      <c r="D439" s="4" t="str">
        <f>VLOOKUP(D440,Vocabulary!$A:$B,2,FALSE)</f>
        <v xml:space="preserve"> -β</v>
      </c>
    </row>
    <row r="440" spans="1:10" x14ac:dyDescent="0.25">
      <c r="A440" s="4">
        <v>92</v>
      </c>
      <c r="B440" s="35" t="s">
        <v>861</v>
      </c>
      <c r="C440" s="35" t="s">
        <v>866</v>
      </c>
      <c r="D440" s="35" t="s">
        <v>682</v>
      </c>
      <c r="E440" s="35"/>
    </row>
    <row r="441" spans="1:10" x14ac:dyDescent="0.25">
      <c r="B441" s="58" t="s">
        <v>862</v>
      </c>
      <c r="C441" s="58"/>
      <c r="D441" s="58"/>
    </row>
    <row r="443" spans="1:10" x14ac:dyDescent="0.25">
      <c r="B443" s="4" t="str">
        <f>VLOOKUP(B444,Vocabulary!$A:$B,2,FALSE)</f>
        <v>pɑt</v>
      </c>
      <c r="C443" s="4" t="str">
        <f>VLOOKUP(C444,Vocabulary!$A:$B,2,FALSE)</f>
        <v>xaranda:</v>
      </c>
      <c r="D443" s="4" t="str">
        <f>VLOOKUP(D444,Vocabulary!$A:$B,2,FALSE)</f>
        <v xml:space="preserve"> -(ɪ)k</v>
      </c>
      <c r="E443" s="4" t="str">
        <f>VLOOKUP(E444,Vocabulary!$A:$B,2,FALSE)</f>
        <v>xokaɬ(a)</v>
      </c>
      <c r="F443" s="4" t="str">
        <f>VLOOKUP(F444,Vocabulary!$A:$B,2,FALSE)</f>
        <v xml:space="preserve"> -β</v>
      </c>
    </row>
    <row r="444" spans="1:10" x14ac:dyDescent="0.25">
      <c r="A444" s="4">
        <v>93</v>
      </c>
      <c r="B444" s="35" t="s">
        <v>536</v>
      </c>
      <c r="C444" s="35" t="s">
        <v>861</v>
      </c>
      <c r="D444" s="35" t="s">
        <v>535</v>
      </c>
      <c r="E444" s="35" t="s">
        <v>867</v>
      </c>
      <c r="F444" s="35" t="s">
        <v>682</v>
      </c>
    </row>
    <row r="445" spans="1:10" x14ac:dyDescent="0.25">
      <c r="B445" s="58" t="s">
        <v>868</v>
      </c>
      <c r="C445" s="58"/>
      <c r="D445" s="58"/>
    </row>
    <row r="447" spans="1:10" x14ac:dyDescent="0.25">
      <c r="B447" s="4" t="str">
        <f>VLOOKUP(B448,Vocabulary!$A:$B,2,FALSE)</f>
        <v>mɔt</v>
      </c>
      <c r="C447" s="4" t="str">
        <f>VLOOKUP(C448,Vocabulary!$A:$B,2,FALSE)</f>
        <v xml:space="preserve"> -ni</v>
      </c>
      <c r="D447" s="4" t="str">
        <f>VLOOKUP(D448,Vocabulary!$A:$B,2,FALSE)</f>
        <v>moʧʰir</v>
      </c>
      <c r="E447" s="4" t="str">
        <f>VLOOKUP(E448,Vocabulary!$A:$B,2,FALSE)</f>
        <v>xokar(a)</v>
      </c>
      <c r="F447" s="4" t="str">
        <f>VLOOKUP(F448,Vocabulary!$A:$B,2,FALSE)</f>
        <v xml:space="preserve"> -β</v>
      </c>
    </row>
    <row r="448" spans="1:10" x14ac:dyDescent="0.25">
      <c r="A448" s="4">
        <v>94</v>
      </c>
      <c r="B448" s="35" t="s">
        <v>871</v>
      </c>
      <c r="C448" s="35" t="s">
        <v>374</v>
      </c>
      <c r="D448" s="35" t="s">
        <v>872</v>
      </c>
      <c r="E448" s="35" t="s">
        <v>866</v>
      </c>
      <c r="F448" s="35" t="s">
        <v>682</v>
      </c>
    </row>
    <row r="449" spans="1:7" x14ac:dyDescent="0.25">
      <c r="B449" s="58" t="s">
        <v>873</v>
      </c>
      <c r="C449" s="58"/>
      <c r="D449" s="58"/>
    </row>
    <row r="451" spans="1:7" x14ac:dyDescent="0.25">
      <c r="B451" s="4" t="str">
        <f>VLOOKUP(B452,Vocabulary!$A:$B,2,FALSE)</f>
        <v>pɑt</v>
      </c>
      <c r="C451" s="4" t="str">
        <f>VLOOKUP(C452,Vocabulary!$A:$B,2,FALSE)</f>
        <v>mɔt</v>
      </c>
      <c r="D451" s="4" t="str">
        <f>VLOOKUP(D452,Vocabulary!$A:$B,2,FALSE)</f>
        <v xml:space="preserve"> -ni</v>
      </c>
      <c r="E451" s="4" t="str">
        <f>VLOOKUP(E452,Vocabulary!$A:$B,2,FALSE)</f>
        <v>moʧʰir</v>
      </c>
      <c r="F451" s="4" t="str">
        <f>VLOOKUP(F452,Vocabulary!$A:$B,2,FALSE)</f>
        <v>xokaɬ(a)</v>
      </c>
      <c r="G451" s="4" t="str">
        <f>VLOOKUP(G452,Vocabulary!$A:$B,2,FALSE)</f>
        <v xml:space="preserve"> -β</v>
      </c>
    </row>
    <row r="452" spans="1:7" x14ac:dyDescent="0.25">
      <c r="A452" s="4">
        <v>95</v>
      </c>
      <c r="B452" s="35" t="s">
        <v>536</v>
      </c>
      <c r="C452" s="35" t="s">
        <v>871</v>
      </c>
      <c r="D452" s="35" t="s">
        <v>374</v>
      </c>
      <c r="E452" s="35" t="s">
        <v>872</v>
      </c>
      <c r="F452" s="35" t="s">
        <v>867</v>
      </c>
      <c r="G452" s="35" t="s">
        <v>682</v>
      </c>
    </row>
    <row r="453" spans="1:7" x14ac:dyDescent="0.25">
      <c r="B453" s="58" t="s">
        <v>874</v>
      </c>
      <c r="C453" s="58"/>
      <c r="D453" s="58"/>
      <c r="E453" s="58"/>
    </row>
    <row r="455" spans="1:7" x14ac:dyDescent="0.25">
      <c r="B455" s="4" t="str">
        <f>VLOOKUP(B456,Vocabulary!$A:$B,2,FALSE)</f>
        <v>ʦʰɪʦke:</v>
      </c>
      <c r="C455" s="4" t="str">
        <f>VLOOKUP(C456,Vocabulary!$A:$B,2,FALSE)</f>
        <v>jupkʰ(a)</v>
      </c>
      <c r="D455" s="4" t="str">
        <f>VLOOKUP(D456,Vocabulary!$A:$B,2,FALSE)</f>
        <v xml:space="preserve"> -(k)e:</v>
      </c>
      <c r="E455" s="4" t="str">
        <f>VLOOKUP(E456,Vocabulary!$A:$B,2,FALSE)</f>
        <v>or(a)</v>
      </c>
      <c r="F455" s="4" t="str">
        <f>VLOOKUP(F456,Vocabulary!$A:$B,2,FALSE)</f>
        <v xml:space="preserve"> -β</v>
      </c>
    </row>
    <row r="456" spans="1:7" x14ac:dyDescent="0.25">
      <c r="A456" s="39">
        <v>96</v>
      </c>
      <c r="B456" s="35" t="s">
        <v>714</v>
      </c>
      <c r="C456" s="35" t="s">
        <v>886</v>
      </c>
      <c r="D456" s="35" t="str">
        <f>IF(C456="skirt 1", "RFLX e", "RFLX a")</f>
        <v>RFLX e</v>
      </c>
      <c r="E456" s="35" t="s">
        <v>894</v>
      </c>
      <c r="F456" s="35" t="s">
        <v>682</v>
      </c>
    </row>
    <row r="457" spans="1:7" x14ac:dyDescent="0.25">
      <c r="B457" s="58" t="s">
        <v>889</v>
      </c>
      <c r="C457" s="58"/>
      <c r="D457" s="58"/>
      <c r="E457" s="58"/>
    </row>
    <row r="459" spans="1:7" x14ac:dyDescent="0.25">
      <c r="B459" s="4" t="str">
        <f>VLOOKUP(B460,Vocabulary!$A:$B,2,FALSE)</f>
        <v>banʦaɫ</v>
      </c>
      <c r="C459" s="4" t="str">
        <f>VLOOKUP(C460,Vocabulary!$A:$B,2,FALSE)</f>
        <v>orakt(a)</v>
      </c>
      <c r="D459" s="4" t="str">
        <f>VLOOKUP(D460,Vocabulary!$A:$B,2,FALSE)</f>
        <v xml:space="preserve"> -β</v>
      </c>
    </row>
    <row r="460" spans="1:7" x14ac:dyDescent="0.25">
      <c r="A460" s="4" t="s">
        <v>890</v>
      </c>
      <c r="B460" s="35" t="s">
        <v>887</v>
      </c>
      <c r="C460" s="35" t="s">
        <v>893</v>
      </c>
      <c r="D460" s="35" t="s">
        <v>682</v>
      </c>
    </row>
    <row r="461" spans="1:7" x14ac:dyDescent="0.25">
      <c r="B461" s="58" t="s">
        <v>891</v>
      </c>
      <c r="C461" s="58"/>
      <c r="D461" s="58"/>
    </row>
    <row r="463" spans="1:7" x14ac:dyDescent="0.25">
      <c r="B463" s="4" t="str">
        <f>VLOOKUP(B464,Vocabulary!$A:$B,2,FALSE)</f>
        <v>banʦaɫ</v>
      </c>
      <c r="C463" s="4" t="str">
        <f>VLOOKUP(C464,Vocabulary!$A:$B,2,FALSE)</f>
        <v>orakt(a)</v>
      </c>
      <c r="D463" s="4" t="str">
        <f>VLOOKUP(D464,Vocabulary!$A:$B,2,FALSE)</f>
        <v xml:space="preserve"> -ʧax</v>
      </c>
      <c r="E463" s="4" t="str">
        <f>VLOOKUP(E464,Vocabulary!$A:$B,2,FALSE)</f>
        <v xml:space="preserve"> -saŋ</v>
      </c>
      <c r="F463" s="4" t="str">
        <f>VLOOKUP(F464,Vocabulary!$A:$B,2,FALSE)</f>
        <v>pæ:</v>
      </c>
      <c r="G463" s="4" t="str">
        <f>VLOOKUP(G464,Vocabulary!$A:$B,2,FALSE)</f>
        <v xml:space="preserve"> -β</v>
      </c>
    </row>
    <row r="464" spans="1:7" x14ac:dyDescent="0.25">
      <c r="A464" s="4" t="s">
        <v>892</v>
      </c>
      <c r="B464" s="35" t="s">
        <v>887</v>
      </c>
      <c r="C464" s="35" t="s">
        <v>893</v>
      </c>
      <c r="D464" s="35" t="s">
        <v>686</v>
      </c>
      <c r="E464" s="35" t="s">
        <v>678</v>
      </c>
      <c r="F464" s="35" t="s">
        <v>386</v>
      </c>
      <c r="G464" s="35" t="s">
        <v>682</v>
      </c>
    </row>
    <row r="465" spans="1:11" x14ac:dyDescent="0.25">
      <c r="B465" s="58" t="str">
        <f>IF(G464="NPST", "The skirt is torn.", "The skirt was torn.")</f>
        <v>The skirt was torn.</v>
      </c>
      <c r="C465" s="58"/>
      <c r="D465" s="58"/>
      <c r="E465" s="58"/>
      <c r="F465" s="58"/>
      <c r="G465" s="58"/>
    </row>
    <row r="467" spans="1:11" x14ac:dyDescent="0.25">
      <c r="B467" s="4" t="str">
        <f>VLOOKUP(B468,Vocabulary!$A:$B,2,FALSE)</f>
        <v>ɵntʉr</v>
      </c>
      <c r="C467" s="4" t="str">
        <f>VLOOKUP(C468,Vocabulary!$A:$B,2,FALSE)</f>
        <v>ʦaɬo</v>
      </c>
      <c r="D467" s="4" t="str">
        <f>VLOOKUP(D468,Vocabulary!$A:$B,2,FALSE)</f>
        <v>ʧʰam</v>
      </c>
      <c r="E467" s="4" t="str">
        <f>VLOOKUP(E468,Vocabulary!$A:$B,2,FALSE)</f>
        <v xml:space="preserve"> -tʰæ:</v>
      </c>
      <c r="F467" s="4" t="str">
        <f>VLOOKUP(F468,Vocabulary!$A:$B,2,FALSE)</f>
        <v>o:ɬʦ(a)</v>
      </c>
      <c r="G467" s="4" t="str">
        <f>VLOOKUP(G468,Vocabulary!$A:$B,2,FALSE)</f>
        <v xml:space="preserve"> -x</v>
      </c>
      <c r="H467" s="4" t="str">
        <f>VLOOKUP(H468,Vocabulary!$A:$B,2,FALSE)</f>
        <v>k(ɛ)</v>
      </c>
      <c r="I467" s="4" t="str">
        <f>VLOOKUP(I468,Vocabulary!$A:$B,2,FALSE)</f>
        <v xml:space="preserve"> -ʧ</v>
      </c>
      <c r="J467" s="4" t="str">
        <f>VLOOKUP(J468,Vocabulary!$A:$B,2,FALSE)</f>
        <v>iɾ(ɪ)</v>
      </c>
      <c r="K467" s="4" t="str">
        <f>VLOOKUP(K468,Vocabulary!$A:$B,2,FALSE)</f>
        <v xml:space="preserve"> -sɨŋ</v>
      </c>
    </row>
    <row r="468" spans="1:11" x14ac:dyDescent="0.25">
      <c r="A468" s="4">
        <v>98</v>
      </c>
      <c r="B468" s="35" t="s">
        <v>898</v>
      </c>
      <c r="C468" s="35" t="s">
        <v>392</v>
      </c>
      <c r="D468" s="35" t="s">
        <v>1063</v>
      </c>
      <c r="E468" s="44" t="s">
        <v>753</v>
      </c>
      <c r="F468" s="35" t="s">
        <v>899</v>
      </c>
      <c r="G468" s="35" t="s">
        <v>368</v>
      </c>
      <c r="H468" s="35" t="s">
        <v>1266</v>
      </c>
      <c r="I468" s="54" t="s">
        <v>1303</v>
      </c>
      <c r="J468" s="35" t="s">
        <v>900</v>
      </c>
      <c r="K468" s="35" t="s">
        <v>679</v>
      </c>
    </row>
    <row r="469" spans="1:11" x14ac:dyDescent="0.25">
      <c r="B469" s="58" t="s">
        <v>903</v>
      </c>
      <c r="C469" s="58"/>
      <c r="D469" s="58"/>
      <c r="E469" s="58"/>
      <c r="F469" s="58"/>
      <c r="G469" s="58"/>
      <c r="H469" s="58"/>
    </row>
    <row r="471" spans="1:11" x14ac:dyDescent="0.25">
      <c r="B471" s="59" t="s">
        <v>910</v>
      </c>
      <c r="C471" s="59"/>
      <c r="D471" s="59"/>
      <c r="E471" s="59"/>
      <c r="F471" s="59"/>
      <c r="G471" s="59"/>
      <c r="H471" s="59"/>
    </row>
    <row r="472" spans="1:11" x14ac:dyDescent="0.25">
      <c r="A472" s="4">
        <v>99</v>
      </c>
      <c r="B472" s="4" t="str">
        <f>VLOOKUP(B473,Vocabulary!$A:$B,2,FALSE)</f>
        <v>pi</v>
      </c>
      <c r="C472" s="4" t="str">
        <f>VLOOKUP(C473,Vocabulary!$A:$B,2,FALSE)</f>
        <v>tʰeme:</v>
      </c>
      <c r="D472" s="4" t="str">
        <f>VLOOKUP(D473,Vocabulary!$A:$B,2,FALSE)</f>
        <v xml:space="preserve"> -tʰe:</v>
      </c>
      <c r="E472" s="4" t="str">
        <f>VLOOKUP(E473,Vocabulary!$A:$B,2,FALSE)</f>
        <v>pɔɬ(ɔ)</v>
      </c>
      <c r="F472" s="4" t="str">
        <f>VLOOKUP(F473,Vocabulary!$A:$B,2,FALSE)</f>
        <v xml:space="preserve"> -mɔr</v>
      </c>
      <c r="G472" s="4" t="str">
        <f>VLOOKUP(G473,Vocabulary!$A:$B,2,FALSE)</f>
        <v>pæ:</v>
      </c>
      <c r="H472" s="4" t="str">
        <f>VLOOKUP(H473,Vocabulary!$A:$B,2,FALSE)</f>
        <v xml:space="preserve"> -n</v>
      </c>
    </row>
    <row r="473" spans="1:11" x14ac:dyDescent="0.25">
      <c r="B473" s="40" t="s">
        <v>932</v>
      </c>
      <c r="C473" s="40" t="s">
        <v>913</v>
      </c>
      <c r="D473" s="40" t="s">
        <v>751</v>
      </c>
      <c r="E473" s="40" t="s">
        <v>1077</v>
      </c>
      <c r="F473" s="40" t="s">
        <v>1048</v>
      </c>
      <c r="G473" s="40" t="s">
        <v>386</v>
      </c>
      <c r="H473" s="40" t="s">
        <v>1305</v>
      </c>
    </row>
    <row r="474" spans="1:11" x14ac:dyDescent="0.25">
      <c r="B474" s="58" t="s">
        <v>1078</v>
      </c>
      <c r="C474" s="58"/>
      <c r="D474" s="58"/>
      <c r="E474" s="58"/>
      <c r="F474" s="58"/>
      <c r="G474" s="58"/>
    </row>
    <row r="476" spans="1:11" x14ac:dyDescent="0.25">
      <c r="A476" s="4">
        <v>100</v>
      </c>
      <c r="B476" s="4" t="str">
        <f>VLOOKUP(B477,Vocabulary!$A:$B,2,FALSE)</f>
        <v>natat</v>
      </c>
      <c r="C476" s="4" t="str">
        <f>VLOOKUP(C477,Vocabulary!$A:$B,2,FALSE)</f>
        <v xml:space="preserve"> -(n)t</v>
      </c>
      <c r="D476" s="4" t="str">
        <f>VLOOKUP(D477,Vocabulary!$A:$B,2,FALSE)</f>
        <v>tʰeme:</v>
      </c>
      <c r="E476" s="4" t="str">
        <f>VLOOKUP(E477,Vocabulary!$A:$B,2,FALSE)</f>
        <v>pæ:</v>
      </c>
      <c r="F476" s="4" t="str">
        <f>VLOOKUP(F477,Vocabulary!$A:$B,2,FALSE)</f>
        <v xml:space="preserve"> -(ɣ)a:</v>
      </c>
    </row>
    <row r="477" spans="1:11" x14ac:dyDescent="0.25">
      <c r="B477" s="44" t="s">
        <v>918</v>
      </c>
      <c r="C477" s="44" t="s">
        <v>606</v>
      </c>
      <c r="D477" s="44" t="s">
        <v>913</v>
      </c>
      <c r="E477" s="44" t="s">
        <v>386</v>
      </c>
      <c r="F477" s="44" t="s">
        <v>1304</v>
      </c>
    </row>
    <row r="478" spans="1:11" x14ac:dyDescent="0.25">
      <c r="B478" s="58" t="s">
        <v>931</v>
      </c>
      <c r="C478" s="58"/>
      <c r="D478" s="58"/>
      <c r="E478" s="58"/>
    </row>
    <row r="480" spans="1:11" x14ac:dyDescent="0.25">
      <c r="A480" s="4">
        <v>101</v>
      </c>
      <c r="B480" s="4" t="str">
        <f>VLOOKUP(B481,Vocabulary!$A:$B,2,FALSE)</f>
        <v>pi</v>
      </c>
      <c r="C480" s="4" t="str">
        <f>VLOOKUP(C481,Vocabulary!$A:$B,2,FALSE)</f>
        <v>tʰeme:</v>
      </c>
      <c r="D480" s="4" t="str">
        <f>VLOOKUP(D481,Vocabulary!$A:$B,2,FALSE)</f>
        <v xml:space="preserve"> -ni</v>
      </c>
      <c r="E480" s="4" t="str">
        <f>VLOOKUP(E481,Vocabulary!$A:$B,2,FALSE)</f>
        <v>max</v>
      </c>
      <c r="F480" s="4" t="str">
        <f>VLOOKUP(F481,Vocabulary!$A:$B,2,FALSE)</f>
        <v>it(ɪ)</v>
      </c>
      <c r="G480" s="4" t="str">
        <f>VLOOKUP(G481,Vocabulary!$A:$B,2,FALSE)</f>
        <v xml:space="preserve"> -mer</v>
      </c>
      <c r="H480" s="4" t="str">
        <f>VLOOKUP(H481,Vocabulary!$A:$B,2,FALSE)</f>
        <v>pæ:</v>
      </c>
      <c r="I480" s="4" t="str">
        <f>VLOOKUP(I481,Vocabulary!$A:$B,2,FALSE)</f>
        <v xml:space="preserve"> -n</v>
      </c>
    </row>
    <row r="481" spans="1:14" x14ac:dyDescent="0.25">
      <c r="B481" s="47" t="s">
        <v>932</v>
      </c>
      <c r="C481" s="47" t="s">
        <v>913</v>
      </c>
      <c r="D481" s="47" t="s">
        <v>374</v>
      </c>
      <c r="E481" s="47" t="s">
        <v>1043</v>
      </c>
      <c r="F481" s="47" t="s">
        <v>580</v>
      </c>
      <c r="G481" s="47" t="s">
        <v>1049</v>
      </c>
      <c r="H481" s="47" t="s">
        <v>386</v>
      </c>
      <c r="I481" s="47" t="s">
        <v>1305</v>
      </c>
    </row>
    <row r="482" spans="1:14" x14ac:dyDescent="0.25">
      <c r="B482" s="58" t="s">
        <v>1044</v>
      </c>
      <c r="C482" s="58"/>
      <c r="D482" s="58"/>
      <c r="E482" s="58"/>
      <c r="F482" s="58"/>
    </row>
    <row r="484" spans="1:14" x14ac:dyDescent="0.25">
      <c r="A484" s="4">
        <v>102</v>
      </c>
      <c r="B484" s="4" t="str">
        <f>VLOOKUP(B485,Vocabulary!$A:$B,2,FALSE)</f>
        <v>xa:n(a)</v>
      </c>
      <c r="C484" s="4" t="str">
        <f>VLOOKUP(C485,Vocabulary!$A:$B,2,FALSE)</f>
        <v xml:space="preserve"> -(k)as</v>
      </c>
      <c r="D484" s="4" t="str">
        <f>VLOOKUP(D485,Vocabulary!$A:$B,2,FALSE)</f>
        <v>iɾ(ɪ)</v>
      </c>
      <c r="E484" s="4" t="str">
        <f>VLOOKUP(E485,Vocabulary!$A:$B,2,FALSE)</f>
        <v xml:space="preserve"> -sɨŋ</v>
      </c>
      <c r="F484" s="4" t="str">
        <f>VLOOKUP(F485,Vocabulary!$A:$B,2,FALSE)</f>
        <v>pe</v>
      </c>
    </row>
    <row r="485" spans="1:14" x14ac:dyDescent="0.25">
      <c r="B485" s="47" t="s">
        <v>1053</v>
      </c>
      <c r="C485" s="47" t="s">
        <v>1052</v>
      </c>
      <c r="D485" s="47" t="s">
        <v>900</v>
      </c>
      <c r="E485" s="47" t="s">
        <v>1054</v>
      </c>
      <c r="F485" s="47" t="s">
        <v>1062</v>
      </c>
    </row>
    <row r="486" spans="1:14" x14ac:dyDescent="0.25">
      <c r="B486" s="58" t="s">
        <v>1072</v>
      </c>
      <c r="C486" s="58"/>
      <c r="D486" s="58"/>
      <c r="E486" s="13"/>
      <c r="F486" s="58" t="s">
        <v>1071</v>
      </c>
      <c r="G486" s="58"/>
      <c r="H486" s="58"/>
      <c r="I486" s="58"/>
      <c r="J486" s="58"/>
      <c r="K486" s="58"/>
      <c r="L486" s="58"/>
      <c r="M486" s="58"/>
      <c r="N486" s="58"/>
    </row>
    <row r="488" spans="1:14" x14ac:dyDescent="0.25">
      <c r="A488" s="4">
        <v>103</v>
      </c>
      <c r="B488" s="4" t="str">
        <f>VLOOKUP(B489,Vocabulary!$A:$B,2,FALSE)</f>
        <v>ʧʰam</v>
      </c>
      <c r="C488" s="4" t="str">
        <f>VLOOKUP(C489,Vocabulary!$A:$B,2,FALSE)</f>
        <v xml:space="preserve"> -(n)t</v>
      </c>
      <c r="D488" s="4" t="str">
        <f>VLOOKUP(D489,Vocabulary!$A:$B,2,FALSE)</f>
        <v>ɪkʧʰ</v>
      </c>
      <c r="E488" s="4" t="str">
        <f>VLOOKUP(E489,Vocabulary!$A:$B,2,FALSE)</f>
        <v>pæ:</v>
      </c>
      <c r="F488" s="4" t="str">
        <f>VLOOKUP(F489,Vocabulary!$A:$B,2,FALSE)</f>
        <v xml:space="preserve"> -(ɣ)a:</v>
      </c>
      <c r="G488" s="4" t="str">
        <f>VLOOKUP(G489,Vocabulary!$A:$B,2,FALSE)</f>
        <v>(j)o:</v>
      </c>
    </row>
    <row r="489" spans="1:14" x14ac:dyDescent="0.25">
      <c r="B489" s="47" t="s">
        <v>1063</v>
      </c>
      <c r="C489" s="47" t="s">
        <v>606</v>
      </c>
      <c r="D489" s="47" t="s">
        <v>1065</v>
      </c>
      <c r="E489" s="47" t="s">
        <v>386</v>
      </c>
      <c r="F489" s="47" t="s">
        <v>1304</v>
      </c>
      <c r="G489" s="47" t="s">
        <v>1060</v>
      </c>
    </row>
    <row r="490" spans="1:14" x14ac:dyDescent="0.25">
      <c r="B490" s="58" t="s">
        <v>1073</v>
      </c>
      <c r="C490" s="58"/>
      <c r="D490" s="58"/>
      <c r="E490" s="58"/>
    </row>
    <row r="492" spans="1:14" x14ac:dyDescent="0.25">
      <c r="A492" s="4">
        <v>104</v>
      </c>
      <c r="B492" s="4" t="str">
        <f>VLOOKUP(B493,Vocabulary!$A:$B,2,FALSE)</f>
        <v>ɪn</v>
      </c>
      <c r="C492" s="4" t="str">
        <f>VLOOKUP(C493,Vocabulary!$A:$B,2,FALSE)</f>
        <v>jo:</v>
      </c>
      <c r="D492" s="4" t="str">
        <f>VLOOKUP(D493,Vocabulary!$A:$B,2,FALSE)</f>
        <v>βe</v>
      </c>
    </row>
    <row r="493" spans="1:14" x14ac:dyDescent="0.25">
      <c r="B493" s="47" t="s">
        <v>438</v>
      </c>
      <c r="C493" s="47" t="s">
        <v>1070</v>
      </c>
      <c r="D493" s="47" t="s">
        <v>1074</v>
      </c>
    </row>
    <row r="494" spans="1:14" x14ac:dyDescent="0.25">
      <c r="B494" s="58" t="s">
        <v>1075</v>
      </c>
      <c r="C494" s="58"/>
      <c r="D494" s="58"/>
    </row>
    <row r="496" spans="1:14" x14ac:dyDescent="0.25">
      <c r="A496" s="4">
        <v>105</v>
      </c>
      <c r="B496" s="4" t="str">
        <f>VLOOKUP(B497,Vocabulary!$A:$B,2,FALSE)</f>
        <v>jo:</v>
      </c>
      <c r="C496" s="4" t="str">
        <f>VLOOKUP(C497,Vocabulary!$A:$B,2,FALSE)</f>
        <v>pɔɬ(ɔ)</v>
      </c>
      <c r="D496" s="4" t="str">
        <f>VLOOKUP(D497,Vocabulary!$A:$B,2,FALSE)</f>
        <v xml:space="preserve"> -saŋ</v>
      </c>
      <c r="E496" s="4" t="str">
        <f>VLOOKUP(E497,Vocabulary!$A:$B,2,FALSE)</f>
        <v>pe</v>
      </c>
    </row>
    <row r="497" spans="1:6" x14ac:dyDescent="0.25">
      <c r="B497" s="47" t="s">
        <v>1070</v>
      </c>
      <c r="C497" s="47" t="s">
        <v>1077</v>
      </c>
      <c r="D497" s="47" t="s">
        <v>1085</v>
      </c>
      <c r="E497" s="47" t="s">
        <v>1062</v>
      </c>
    </row>
    <row r="498" spans="1:6" x14ac:dyDescent="0.25">
      <c r="B498" s="58" t="s">
        <v>1079</v>
      </c>
      <c r="C498" s="58"/>
      <c r="D498" s="58"/>
    </row>
    <row r="500" spans="1:6" x14ac:dyDescent="0.25">
      <c r="A500" s="4">
        <v>106</v>
      </c>
      <c r="B500" s="4" t="str">
        <f>VLOOKUP(B501,Vocabulary!$A:$B,2,FALSE)</f>
        <v>ʦʰɪʦke:</v>
      </c>
      <c r="C500" s="4" t="str">
        <f>VLOOKUP(C501,Vocabulary!$A:$B,2,FALSE)</f>
        <v>xa:n(a)</v>
      </c>
      <c r="D500" s="4" t="str">
        <f>VLOOKUP(D501,Vocabulary!$A:$B,2,FALSE)</f>
        <v>pæ:</v>
      </c>
      <c r="E500" s="4" t="str">
        <f>VLOOKUP(E501,Vocabulary!$A:$B,2,FALSE)</f>
        <v xml:space="preserve"> -sɨŋ</v>
      </c>
      <c r="F500" s="4" t="str">
        <f>VLOOKUP(F501,Vocabulary!$A:$B,2,FALSE)</f>
        <v>pe</v>
      </c>
    </row>
    <row r="501" spans="1:6" x14ac:dyDescent="0.25">
      <c r="B501" s="47" t="s">
        <v>714</v>
      </c>
      <c r="C501" s="47" t="s">
        <v>1053</v>
      </c>
      <c r="D501" s="47" t="s">
        <v>386</v>
      </c>
      <c r="E501" s="47" t="s">
        <v>1054</v>
      </c>
      <c r="F501" s="47" t="str">
        <f>IF(E501="NR PST f", "Q WH", "Q WH 2")</f>
        <v>Q WH</v>
      </c>
    </row>
    <row r="502" spans="1:6" x14ac:dyDescent="0.25">
      <c r="B502" s="58" t="str">
        <f>IF(E501="NR PST f", "Where was Titske?",IF(E501="NPST","Where is Titske? (non-permanent)", "Where is Titske? (permanent)"))</f>
        <v>Where was Titske?</v>
      </c>
      <c r="C502" s="58"/>
      <c r="D502" s="58"/>
      <c r="E502" s="58"/>
    </row>
    <row r="504" spans="1:6" x14ac:dyDescent="0.25">
      <c r="A504" s="4">
        <v>107</v>
      </c>
      <c r="B504" s="4" t="str">
        <f>VLOOKUP(B505,Vocabulary!$A:$B,2,FALSE)</f>
        <v>pi</v>
      </c>
      <c r="C504" s="4" t="str">
        <f>VLOOKUP(C505,Vocabulary!$A:$B,2,FALSE)</f>
        <v>mɑŋkɑɬ</v>
      </c>
      <c r="D504" s="4" t="str">
        <f>VLOOKUP(D505,Vocabulary!$A:$B,2,FALSE)</f>
        <v xml:space="preserve"> -(k)as</v>
      </c>
      <c r="E504" s="4" t="str">
        <f>VLOOKUP(E505,Vocabulary!$A:$B,2,FALSE)</f>
        <v>iɾ(ɪ)</v>
      </c>
      <c r="F504" s="4" t="str">
        <f>VLOOKUP(F505,Vocabulary!$A:$B,2,FALSE)</f>
        <v xml:space="preserve"> -sɨŋ</v>
      </c>
    </row>
    <row r="505" spans="1:6" x14ac:dyDescent="0.25">
      <c r="B505" s="47" t="s">
        <v>932</v>
      </c>
      <c r="C505" s="47" t="s">
        <v>91</v>
      </c>
      <c r="D505" s="47" t="s">
        <v>1052</v>
      </c>
      <c r="E505" s="47" t="s">
        <v>900</v>
      </c>
      <c r="F505" s="47" t="s">
        <v>1054</v>
      </c>
    </row>
    <row r="506" spans="1:6" x14ac:dyDescent="0.25">
      <c r="B506" s="58" t="s">
        <v>1092</v>
      </c>
      <c r="C506" s="58"/>
      <c r="D506" s="58"/>
      <c r="E506" s="58"/>
    </row>
    <row r="508" spans="1:6" x14ac:dyDescent="0.25">
      <c r="A508" s="4">
        <v>108</v>
      </c>
      <c r="B508" s="4" t="str">
        <f>VLOOKUP(B509,Vocabulary!$A:$B,2,FALSE)</f>
        <v>natat</v>
      </c>
      <c r="C508" s="4" t="str">
        <f>VLOOKUP(C509,Vocabulary!$A:$B,2,FALSE)</f>
        <v xml:space="preserve"> -(n)t</v>
      </c>
      <c r="D508" s="4" t="str">
        <f>VLOOKUP(D509,Vocabulary!$A:$B,2,FALSE)</f>
        <v>ɪkʧʰ</v>
      </c>
      <c r="E508" s="4" t="str">
        <f>VLOOKUP(E509,Vocabulary!$A:$B,2,FALSE)</f>
        <v>pæ:</v>
      </c>
      <c r="F508" s="4" t="str">
        <f>VLOOKUP(F509,Vocabulary!$A:$B,2,FALSE)</f>
        <v xml:space="preserve"> -(ɣ)a:</v>
      </c>
    </row>
    <row r="509" spans="1:6" x14ac:dyDescent="0.25">
      <c r="B509" s="47" t="s">
        <v>918</v>
      </c>
      <c r="C509" s="47" t="s">
        <v>606</v>
      </c>
      <c r="D509" s="23" t="s">
        <v>1065</v>
      </c>
      <c r="E509" s="47" t="s">
        <v>386</v>
      </c>
      <c r="F509" s="47" t="s">
        <v>1304</v>
      </c>
    </row>
    <row r="510" spans="1:6" x14ac:dyDescent="0.25">
      <c r="B510" s="58" t="s">
        <v>1093</v>
      </c>
      <c r="C510" s="58"/>
      <c r="D510" s="58"/>
      <c r="E510" s="58"/>
    </row>
    <row r="512" spans="1:6" x14ac:dyDescent="0.25">
      <c r="A512" s="4">
        <v>109</v>
      </c>
      <c r="B512" s="4" t="str">
        <f>VLOOKUP(B513,Vocabulary!$A:$B,2,FALSE)</f>
        <v>tʰɪr</v>
      </c>
      <c r="C512" s="4" t="str">
        <f>VLOOKUP(C513,Vocabulary!$A:$B,2,FALSE)</f>
        <v>xɨŋ</v>
      </c>
      <c r="D512" s="4" t="str">
        <f>VLOOKUP(D513,Vocabulary!$A:$B,2,FALSE)</f>
        <v>pe</v>
      </c>
    </row>
    <row r="513" spans="1:11" x14ac:dyDescent="0.25">
      <c r="B513" s="47" t="s">
        <v>962</v>
      </c>
      <c r="C513" s="47" t="s">
        <v>1094</v>
      </c>
      <c r="D513" s="47" t="s">
        <v>1062</v>
      </c>
    </row>
    <row r="514" spans="1:11" x14ac:dyDescent="0.25">
      <c r="B514" s="58" t="str">
        <f>IF(B513="3sg", "Who is that?", "Who is this?")</f>
        <v>Who is that?</v>
      </c>
      <c r="C514" s="58"/>
      <c r="D514" s="58"/>
    </row>
    <row r="516" spans="1:11" x14ac:dyDescent="0.25">
      <c r="A516" s="4" t="s">
        <v>1114</v>
      </c>
      <c r="B516" s="4" t="str">
        <f>VLOOKUP(B517,Vocabulary!$A:$B,2,FALSE)</f>
        <v>æŋk(ɪ)</v>
      </c>
      <c r="C516" s="4" t="str">
        <f>VLOOKUP(C517,Vocabulary!$A:$B,2,FALSE)</f>
        <v>ʧʰi</v>
      </c>
      <c r="D516" s="4" t="str">
        <f>VLOOKUP(D517,Vocabulary!$A:$B,2,FALSE)</f>
        <v xml:space="preserve"> -n</v>
      </c>
      <c r="E516" s="4" t="str">
        <f>VLOOKUP(E517,Vocabulary!$A:$B,2,FALSE)</f>
        <v>xiʦe:</v>
      </c>
      <c r="F516" s="4" t="str">
        <f>VLOOKUP(F517,Vocabulary!$A:$B,2,FALSE)</f>
        <v>ɪxɬ(ɪ)</v>
      </c>
      <c r="G516" s="4" t="str">
        <f>VLOOKUP(G517,Vocabulary!$A:$B,2,FALSE)</f>
        <v xml:space="preserve"> -x</v>
      </c>
      <c r="H516" s="4" t="str">
        <f>VLOOKUP(H517,Vocabulary!$A:$B,2,FALSE)</f>
        <v>βe</v>
      </c>
    </row>
    <row r="517" spans="1:11" x14ac:dyDescent="0.25">
      <c r="B517" s="47" t="s">
        <v>1155</v>
      </c>
      <c r="C517" s="47" t="s">
        <v>740</v>
      </c>
      <c r="D517" s="47" t="s">
        <v>379</v>
      </c>
      <c r="E517" s="47" t="s">
        <v>1105</v>
      </c>
      <c r="F517" s="47" t="s">
        <v>1101</v>
      </c>
      <c r="G517" s="47" t="s">
        <v>368</v>
      </c>
      <c r="H517" s="47" t="s">
        <v>1074</v>
      </c>
    </row>
    <row r="518" spans="1:11" x14ac:dyDescent="0.25">
      <c r="B518" s="58" t="s">
        <v>1108</v>
      </c>
      <c r="C518" s="58"/>
      <c r="D518" s="58"/>
      <c r="E518" s="58"/>
      <c r="F518" s="46" t="s">
        <v>1109</v>
      </c>
      <c r="G518" s="46"/>
      <c r="H518" s="46"/>
      <c r="I518" s="46"/>
      <c r="J518" s="46"/>
      <c r="K518" s="46"/>
    </row>
    <row r="520" spans="1:11" x14ac:dyDescent="0.25">
      <c r="A520" s="4" t="s">
        <v>1115</v>
      </c>
      <c r="B520" s="4" t="str">
        <f>VLOOKUP(B521,Vocabulary!$A:$B,2,FALSE)</f>
        <v>ʧʰi</v>
      </c>
      <c r="C520" s="4" t="str">
        <f>VLOOKUP(C521,Vocabulary!$A:$B,2,FALSE)</f>
        <v xml:space="preserve"> -ni</v>
      </c>
      <c r="D520" s="4" t="str">
        <f>VLOOKUP(D521,Vocabulary!$A:$B,2,FALSE)</f>
        <v>xiʧʰe:ɬ</v>
      </c>
      <c r="E520" s="4" t="str">
        <f>VLOOKUP(E521,Vocabulary!$A:$B,2,FALSE)</f>
        <v>xiʦe:</v>
      </c>
      <c r="F520" s="4" t="str">
        <f>VLOOKUP(F521,Vocabulary!$A:$B,2,FALSE)</f>
        <v>ɪxɬ(ɪ)</v>
      </c>
      <c r="G520" s="4" t="str">
        <f>VLOOKUP(G521,Vocabulary!$A:$B,2,FALSE)</f>
        <v xml:space="preserve"> -x</v>
      </c>
      <c r="H520" s="4" t="str">
        <f>VLOOKUP(H521,Vocabulary!$A:$B,2,FALSE)</f>
        <v>βe</v>
      </c>
    </row>
    <row r="521" spans="1:11" x14ac:dyDescent="0.25">
      <c r="B521" s="47" t="s">
        <v>740</v>
      </c>
      <c r="C521" s="47" t="s">
        <v>374</v>
      </c>
      <c r="D521" s="47" t="s">
        <v>1098</v>
      </c>
      <c r="E521" s="47" t="s">
        <v>1105</v>
      </c>
      <c r="F521" s="47" t="s">
        <v>1101</v>
      </c>
      <c r="G521" s="47" t="s">
        <v>368</v>
      </c>
      <c r="H521" s="47" t="s">
        <v>1074</v>
      </c>
    </row>
    <row r="522" spans="1:11" x14ac:dyDescent="0.25">
      <c r="B522" s="58" t="s">
        <v>1108</v>
      </c>
      <c r="C522" s="58"/>
      <c r="D522" s="58"/>
      <c r="E522" s="58"/>
      <c r="J522" s="46"/>
    </row>
    <row r="524" spans="1:11" x14ac:dyDescent="0.25">
      <c r="A524" s="4">
        <v>111</v>
      </c>
      <c r="B524" s="4" t="str">
        <f>VLOOKUP(B525,Vocabulary!$A:$B,2,FALSE)</f>
        <v>minij</v>
      </c>
      <c r="C524" s="4" t="str">
        <f>VLOOKUP(C525,Vocabulary!$A:$B,2,FALSE)</f>
        <v>a:β</v>
      </c>
      <c r="F524" s="4" t="str">
        <f>VLOOKUP(F525,Vocabulary!$A:$B,2,FALSE)</f>
        <v>a:β</v>
      </c>
      <c r="G524" s="4" t="s">
        <v>1170</v>
      </c>
      <c r="H524" s="4" t="str">
        <f>VLOOKUP(H525,Vocabulary!$A:$B,2,FALSE)</f>
        <v xml:space="preserve"> -n</v>
      </c>
    </row>
    <row r="525" spans="1:11" x14ac:dyDescent="0.25">
      <c r="B525" s="47" t="s">
        <v>1111</v>
      </c>
      <c r="C525" s="47" t="s">
        <v>1110</v>
      </c>
      <c r="E525" s="47"/>
      <c r="F525" s="47" t="s">
        <v>1110</v>
      </c>
      <c r="G525" s="47" t="s">
        <v>1111</v>
      </c>
      <c r="H525" s="47" t="s">
        <v>379</v>
      </c>
    </row>
    <row r="526" spans="1:11" x14ac:dyDescent="0.25">
      <c r="B526" s="46" t="s">
        <v>1112</v>
      </c>
      <c r="D526" s="46" t="s">
        <v>1113</v>
      </c>
      <c r="E526" s="46"/>
      <c r="F526" s="46"/>
      <c r="G526" s="46"/>
      <c r="H526" s="46"/>
      <c r="I526" s="46"/>
    </row>
    <row r="528" spans="1:11" x14ac:dyDescent="0.25">
      <c r="A528" s="4" t="s">
        <v>1116</v>
      </c>
      <c r="B528" s="4" t="str">
        <f>VLOOKUP(B529,Vocabulary!$A:$B,2,FALSE)</f>
        <v>ɪn</v>
      </c>
      <c r="C528" s="4" t="str">
        <f>VLOOKUP(C529,Vocabulary!$A:$B,2,FALSE)</f>
        <v>xɨŋ</v>
      </c>
      <c r="D528" s="4" t="str">
        <f>VLOOKUP(D529,Vocabulary!$A:$B,2,FALSE)</f>
        <v xml:space="preserve"> -i</v>
      </c>
      <c r="E528" s="4" t="str">
        <f>VLOOKUP(E529,Vocabulary!$A:$B,2,FALSE)</f>
        <v xml:space="preserve"> -x</v>
      </c>
      <c r="F528" s="4" t="str">
        <f>VLOOKUP(F529,Vocabulary!$A:$B,2,FALSE)</f>
        <v>βe</v>
      </c>
    </row>
    <row r="529" spans="1:8" x14ac:dyDescent="0.25">
      <c r="B529" s="47" t="s">
        <v>438</v>
      </c>
      <c r="C529" s="47" t="s">
        <v>1094</v>
      </c>
      <c r="D529" s="47" t="s">
        <v>389</v>
      </c>
      <c r="E529" s="47" t="s">
        <v>1237</v>
      </c>
      <c r="F529" s="47" t="s">
        <v>1074</v>
      </c>
    </row>
    <row r="530" spans="1:8" x14ac:dyDescent="0.25">
      <c r="B530" s="58" t="s">
        <v>1119</v>
      </c>
      <c r="C530" s="58"/>
      <c r="D530" s="58"/>
      <c r="E530" s="58"/>
    </row>
    <row r="532" spans="1:8" x14ac:dyDescent="0.25">
      <c r="A532" s="4" t="s">
        <v>1120</v>
      </c>
      <c r="B532" s="4" t="str">
        <f>VLOOKUP(B533,Vocabulary!$A:$B,2,FALSE)</f>
        <v>ɪn</v>
      </c>
      <c r="C532" s="4" t="str">
        <f>VLOOKUP(C533,Vocabulary!$A:$B,2,FALSE)</f>
        <v>xɨŋ</v>
      </c>
      <c r="D532" s="4" t="str">
        <f>VLOOKUP(D533,Vocabulary!$A:$B,2,FALSE)</f>
        <v xml:space="preserve"> -i</v>
      </c>
      <c r="E532" s="4" t="str">
        <f>VLOOKUP(E533,Vocabulary!$A:$B,2,FALSE)</f>
        <v>jom</v>
      </c>
      <c r="F532" s="4" t="str">
        <f>VLOOKUP(F533,Vocabulary!$A:$B,2,FALSE)</f>
        <v>pe</v>
      </c>
    </row>
    <row r="533" spans="1:8" x14ac:dyDescent="0.25">
      <c r="B533" s="47" t="s">
        <v>438</v>
      </c>
      <c r="C533" s="47" t="s">
        <v>1094</v>
      </c>
      <c r="D533" s="47" t="s">
        <v>389</v>
      </c>
      <c r="E533" s="47" t="s">
        <v>1117</v>
      </c>
      <c r="F533" s="47" t="s">
        <v>1062</v>
      </c>
    </row>
    <row r="534" spans="1:8" x14ac:dyDescent="0.25">
      <c r="B534" s="58" t="s">
        <v>1119</v>
      </c>
      <c r="C534" s="58"/>
      <c r="D534" s="58"/>
      <c r="E534" s="58"/>
    </row>
    <row r="536" spans="1:8" x14ac:dyDescent="0.25">
      <c r="A536" s="4">
        <v>113</v>
      </c>
      <c r="B536" s="4" t="str">
        <f>VLOOKUP(B537,Vocabulary!$A:$B,2,FALSE)</f>
        <v>ʧʰi</v>
      </c>
      <c r="C536" s="4" t="str">
        <f>VLOOKUP(C537,Vocabulary!$A:$B,2,FALSE)</f>
        <v>xɨŋ</v>
      </c>
      <c r="D536" s="4" t="str">
        <f>VLOOKUP(D537,Vocabulary!$A:$B,2,FALSE)</f>
        <v xml:space="preserve"> -tʰe:</v>
      </c>
      <c r="E536" s="4" t="str">
        <f>VLOOKUP(E537,Vocabulary!$A:$B,2,FALSE)</f>
        <v>xamtʰ</v>
      </c>
      <c r="F536" s="4" t="str">
        <f>VLOOKUP(F537,Vocabulary!$A:$B,2,FALSE)</f>
        <v>iɾ(ɪ)</v>
      </c>
      <c r="G536" s="4" t="str">
        <f>VLOOKUP(G537,Vocabulary!$A:$B,2,FALSE)</f>
        <v xml:space="preserve"> -sɨŋ</v>
      </c>
      <c r="H536" s="4" t="str">
        <f>VLOOKUP(H537,Vocabulary!$A:$B,2,FALSE)</f>
        <v>pe</v>
      </c>
    </row>
    <row r="537" spans="1:8" x14ac:dyDescent="0.25">
      <c r="B537" s="47" t="s">
        <v>740</v>
      </c>
      <c r="C537" s="47" t="s">
        <v>1094</v>
      </c>
      <c r="D537" s="47" t="s">
        <v>751</v>
      </c>
      <c r="E537" s="47" t="s">
        <v>747</v>
      </c>
      <c r="F537" s="47" t="s">
        <v>900</v>
      </c>
      <c r="G537" s="47" t="s">
        <v>1054</v>
      </c>
      <c r="H537" s="47" t="s">
        <v>1062</v>
      </c>
    </row>
    <row r="538" spans="1:8" x14ac:dyDescent="0.25">
      <c r="B538" s="58" t="s">
        <v>1121</v>
      </c>
      <c r="C538" s="58"/>
      <c r="D538" s="58"/>
      <c r="E538" s="58"/>
    </row>
    <row r="540" spans="1:8" x14ac:dyDescent="0.25">
      <c r="A540" s="4">
        <v>114</v>
      </c>
      <c r="B540" s="4" t="str">
        <f>VLOOKUP(B541,Vocabulary!$A:$B,2,FALSE)</f>
        <v>ʧʰi</v>
      </c>
      <c r="C540" s="4" t="str">
        <f>VLOOKUP(C541,Vocabulary!$A:$B,2,FALSE)</f>
        <v>xɨŋ</v>
      </c>
      <c r="D540" s="4" t="str">
        <f>VLOOKUP(D541,Vocabulary!$A:$B,2,FALSE)</f>
        <v xml:space="preserve"> -i</v>
      </c>
      <c r="E540" s="4" t="str">
        <f>VLOOKUP(E541,Vocabulary!$A:$B,2,FALSE)</f>
        <v xml:space="preserve"> -x</v>
      </c>
      <c r="F540" s="4" t="str">
        <f>VLOOKUP(F541,Vocabulary!$A:$B,2,FALSE)</f>
        <v>βe</v>
      </c>
    </row>
    <row r="541" spans="1:8" x14ac:dyDescent="0.25">
      <c r="B541" s="47" t="s">
        <v>740</v>
      </c>
      <c r="C541" s="47" t="s">
        <v>1094</v>
      </c>
      <c r="D541" s="47" t="s">
        <v>389</v>
      </c>
      <c r="E541" s="47" t="s">
        <v>1237</v>
      </c>
      <c r="F541" s="47" t="s">
        <v>1074</v>
      </c>
    </row>
    <row r="542" spans="1:8" x14ac:dyDescent="0.25">
      <c r="B542" s="58" t="s">
        <v>1123</v>
      </c>
      <c r="C542" s="58"/>
      <c r="D542" s="58"/>
    </row>
    <row r="544" spans="1:8" x14ac:dyDescent="0.25">
      <c r="A544" s="4">
        <v>115</v>
      </c>
      <c r="B544" s="4" t="str">
        <f>VLOOKUP(B545,Vocabulary!$A:$B,2,FALSE)</f>
        <v>ʧʰi</v>
      </c>
      <c r="C544" s="4" t="str">
        <f>VLOOKUP(C545,Vocabulary!$A:$B,2,FALSE)</f>
        <v>xɨŋ</v>
      </c>
      <c r="D544" s="4" t="str">
        <f>VLOOKUP(D545,Vocabulary!$A:$B,2,FALSE)</f>
        <v xml:space="preserve"> -i</v>
      </c>
      <c r="E544" s="4" t="str">
        <f>VLOOKUP(E545,Vocabulary!$A:$B,2,FALSE)</f>
        <v>xu:xβ̞ɨt</v>
      </c>
      <c r="F544" s="4" t="str">
        <f>VLOOKUP(F545,Vocabulary!$A:$B,2,FALSE)</f>
        <v>βe</v>
      </c>
    </row>
    <row r="545" spans="1:6" x14ac:dyDescent="0.25">
      <c r="B545" s="47" t="s">
        <v>740</v>
      </c>
      <c r="C545" s="47" t="s">
        <v>1094</v>
      </c>
      <c r="D545" s="47" t="s">
        <v>389</v>
      </c>
      <c r="E545" s="47" t="s">
        <v>1122</v>
      </c>
      <c r="F545" s="47" t="s">
        <v>1074</v>
      </c>
    </row>
    <row r="546" spans="1:6" x14ac:dyDescent="0.25">
      <c r="B546" s="58" t="s">
        <v>1124</v>
      </c>
      <c r="C546" s="58"/>
      <c r="D546" s="58"/>
    </row>
    <row r="547" spans="1:6" s="52" customFormat="1" x14ac:dyDescent="0.25">
      <c r="B547" s="51"/>
      <c r="C547" s="51"/>
      <c r="D547" s="51"/>
    </row>
    <row r="548" spans="1:6" s="52" customFormat="1" x14ac:dyDescent="0.25">
      <c r="B548" s="59" t="s">
        <v>1208</v>
      </c>
      <c r="C548" s="59"/>
      <c r="D548" s="59"/>
      <c r="E548" s="59"/>
      <c r="F548" s="59"/>
    </row>
    <row r="550" spans="1:6" x14ac:dyDescent="0.25">
      <c r="A550" s="4">
        <v>116</v>
      </c>
      <c r="B550" s="4" t="str">
        <f>VLOOKUP(B551,Vocabulary!$A:$B,2,FALSE)</f>
        <v>ʧʰoɬo:</v>
      </c>
      <c r="C550" s="4" t="str">
        <f>VLOOKUP(C551,Vocabulary!$A:$B,2,FALSE)</f>
        <v>ʦʰãŋx</v>
      </c>
      <c r="D550" s="4" t="str">
        <f>VLOOKUP(D551,Vocabulary!$A:$B,2,FALSE)</f>
        <v>хаkаɬ(а)</v>
      </c>
      <c r="E550" s="4" t="str">
        <f>VLOOKUP(E551,Vocabulary!$A:$B,2,FALSE)</f>
        <v xml:space="preserve"> -saŋ</v>
      </c>
    </row>
    <row r="551" spans="1:6" x14ac:dyDescent="0.25">
      <c r="B551" s="49" t="s">
        <v>1125</v>
      </c>
      <c r="C551" s="49" t="s">
        <v>1127</v>
      </c>
      <c r="D551" s="49" t="s">
        <v>847</v>
      </c>
      <c r="E551" s="49" t="s">
        <v>1085</v>
      </c>
    </row>
    <row r="552" spans="1:6" x14ac:dyDescent="0.25">
      <c r="B552" s="58" t="s">
        <v>1128</v>
      </c>
      <c r="C552" s="58"/>
      <c r="D552" s="58"/>
      <c r="E552" s="58"/>
    </row>
    <row r="554" spans="1:6" x14ac:dyDescent="0.25">
      <c r="A554" s="4">
        <v>117</v>
      </c>
      <c r="B554" s="4" t="str">
        <f>VLOOKUP(B555,Vocabulary!$A:$B,2,FALSE)</f>
        <v>sɛɬɪx</v>
      </c>
      <c r="C554" s="4" t="str">
        <f>VLOOKUP(C555,Vocabulary!$A:$B,2,FALSE)</f>
        <v>ʦʰãŋx</v>
      </c>
      <c r="D554" s="4" t="str">
        <f>VLOOKUP(D555,Vocabulary!$A:$B,2,FALSE)</f>
        <v>хаkаɬ(а)</v>
      </c>
      <c r="E554" s="4" t="str">
        <f>VLOOKUP(E555,Vocabulary!$A:$B,2,FALSE)</f>
        <v xml:space="preserve"> -β</v>
      </c>
    </row>
    <row r="555" spans="1:6" x14ac:dyDescent="0.25">
      <c r="B555" s="49" t="s">
        <v>1129</v>
      </c>
      <c r="C555" s="49" t="s">
        <v>1127</v>
      </c>
      <c r="D555" s="49" t="s">
        <v>847</v>
      </c>
      <c r="E555" s="49" t="s">
        <v>682</v>
      </c>
    </row>
    <row r="556" spans="1:6" x14ac:dyDescent="0.25">
      <c r="B556" s="58" t="s">
        <v>1130</v>
      </c>
      <c r="C556" s="58"/>
      <c r="D556" s="58"/>
      <c r="E556" s="58"/>
    </row>
    <row r="558" spans="1:6" x14ac:dyDescent="0.25">
      <c r="A558" s="4">
        <v>118</v>
      </c>
      <c r="B558" s="4" t="str">
        <f>VLOOKUP(B559,Vocabulary!$A:$B,2,FALSE)</f>
        <v>pi</v>
      </c>
      <c r="C558" s="4" t="str">
        <f>VLOOKUP(C559,Vocabulary!$A:$B,2,FALSE)</f>
        <v>ʧʰoɬo:</v>
      </c>
      <c r="D558" s="4" t="str">
        <f>VLOOKUP(D559,Vocabulary!$A:$B,2,FALSE)</f>
        <v>xar(a)</v>
      </c>
      <c r="E558" s="4" t="str">
        <f>VLOOKUP(E559,Vocabulary!$A:$B,2,FALSE)</f>
        <v xml:space="preserve"> -β</v>
      </c>
    </row>
    <row r="559" spans="1:6" x14ac:dyDescent="0.25">
      <c r="B559" s="49" t="s">
        <v>932</v>
      </c>
      <c r="C559" s="49" t="s">
        <v>1125</v>
      </c>
      <c r="D559" s="49" t="s">
        <v>588</v>
      </c>
      <c r="E559" s="49" t="s">
        <v>682</v>
      </c>
    </row>
    <row r="560" spans="1:6" x14ac:dyDescent="0.25">
      <c r="B560" s="58" t="s">
        <v>1131</v>
      </c>
      <c r="C560" s="58"/>
      <c r="D560" s="58"/>
      <c r="E560" s="58"/>
    </row>
    <row r="562" spans="1:10" x14ac:dyDescent="0.25">
      <c r="A562" s="4">
        <v>119</v>
      </c>
      <c r="B562" s="4" t="str">
        <f>VLOOKUP(B563,Vocabulary!$A:$B,2,FALSE)</f>
        <v>ʧʰi</v>
      </c>
      <c r="C562" s="4" t="str">
        <f>VLOOKUP(C563,Vocabulary!$A:$B,2,FALSE)</f>
        <v>xa:ʃa:</v>
      </c>
      <c r="D562" s="4" t="str">
        <f>VLOOKUP(D563,Vocabulary!$A:$B,2,FALSE)</f>
        <v>jaβ(a)</v>
      </c>
      <c r="E562" s="4" t="str">
        <f>VLOOKUP(E563,Vocabulary!$A:$B,2,FALSE)</f>
        <v xml:space="preserve"> -ʧ</v>
      </c>
      <c r="F562" s="4" t="str">
        <f>VLOOKUP(F563,Vocabulary!$A:$B,2,FALSE)</f>
        <v>pæ:</v>
      </c>
      <c r="G562" s="4" t="str">
        <f>VLOOKUP(G563,Vocabulary!$A:$B,2,FALSE)</f>
        <v xml:space="preserve"> -n</v>
      </c>
      <c r="H562" s="4" t="str">
        <f>VLOOKUP(H563,Vocabulary!$A:$B,2,FALSE)</f>
        <v>βe</v>
      </c>
    </row>
    <row r="563" spans="1:10" x14ac:dyDescent="0.25">
      <c r="B563" s="49" t="s">
        <v>740</v>
      </c>
      <c r="C563" s="49" t="s">
        <v>1136</v>
      </c>
      <c r="D563" s="49" t="s">
        <v>631</v>
      </c>
      <c r="E563" s="49" t="s">
        <v>1303</v>
      </c>
      <c r="F563" s="49" t="s">
        <v>386</v>
      </c>
      <c r="G563" s="49" t="s">
        <v>1305</v>
      </c>
      <c r="H563" s="49" t="s">
        <v>1074</v>
      </c>
    </row>
    <row r="564" spans="1:10" x14ac:dyDescent="0.25">
      <c r="B564" s="58" t="s">
        <v>1137</v>
      </c>
      <c r="C564" s="58"/>
      <c r="D564" s="58"/>
      <c r="E564" s="58"/>
      <c r="F564" s="58"/>
    </row>
    <row r="566" spans="1:10" x14ac:dyDescent="0.25">
      <c r="A566" s="4">
        <v>120</v>
      </c>
      <c r="B566" s="4" t="str">
        <f>VLOOKUP(B567,Vocabulary!$A:$B,2,FALSE)</f>
        <v>pi</v>
      </c>
      <c r="C566" s="4" t="str">
        <f>VLOOKUP(C567,Vocabulary!$A:$B,2,FALSE)</f>
        <v>ʦʰɪʦke:</v>
      </c>
      <c r="D566" s="4" t="str">
        <f>VLOOKUP(D567,Vocabulary!$A:$B,2,FALSE)</f>
        <v xml:space="preserve"> -kin</v>
      </c>
      <c r="E566" s="4" t="str">
        <f>VLOOKUP(E567,Vocabulary!$A:$B,2,FALSE)</f>
        <v>kɪr</v>
      </c>
      <c r="F566" s="4" t="str">
        <f>VLOOKUP(F567,Vocabulary!$A:$B,2,FALSE)</f>
        <v xml:space="preserve"> -ro:</v>
      </c>
      <c r="G566" s="4" t="str">
        <f>VLOOKUP(G567,Vocabulary!$A:$B,2,FALSE)</f>
        <v>jaβ(a)</v>
      </c>
      <c r="H566" s="4" t="str">
        <f>VLOOKUP(H567,Vocabulary!$A:$B,2,FALSE)</f>
        <v xml:space="preserve"> -ʧ</v>
      </c>
      <c r="I566" s="4" t="str">
        <f>VLOOKUP(I567,Vocabulary!$A:$B,2,FALSE)</f>
        <v>pæ:</v>
      </c>
      <c r="J566" s="4" t="str">
        <f>VLOOKUP(J567,Vocabulary!$A:$B,2,FALSE)</f>
        <v xml:space="preserve"> -n</v>
      </c>
    </row>
    <row r="567" spans="1:10" x14ac:dyDescent="0.25">
      <c r="B567" s="49" t="s">
        <v>932</v>
      </c>
      <c r="C567" s="49" t="s">
        <v>714</v>
      </c>
      <c r="D567" s="49" t="s">
        <v>375</v>
      </c>
      <c r="E567" s="49" t="s">
        <v>1139</v>
      </c>
      <c r="F567" s="49" t="s">
        <v>1141</v>
      </c>
      <c r="G567" s="49" t="s">
        <v>631</v>
      </c>
      <c r="H567" s="49" t="s">
        <v>1303</v>
      </c>
      <c r="I567" s="49" t="s">
        <v>386</v>
      </c>
      <c r="J567" s="49" t="s">
        <v>1305</v>
      </c>
    </row>
    <row r="568" spans="1:10" x14ac:dyDescent="0.25">
      <c r="B568" s="58" t="s">
        <v>1148</v>
      </c>
      <c r="C568" s="58"/>
      <c r="D568" s="58"/>
      <c r="E568" s="58"/>
      <c r="F568" s="58"/>
    </row>
    <row r="570" spans="1:10" x14ac:dyDescent="0.25">
      <c r="A570" s="4">
        <v>121</v>
      </c>
      <c r="B570" s="4" t="str">
        <f>VLOOKUP(B571,Vocabulary!$A:$B,2,FALSE)</f>
        <v>pi</v>
      </c>
      <c r="C570" s="4" t="str">
        <f>VLOOKUP(C571,Vocabulary!$A:$B,2,FALSE)</f>
        <v>sorqo:ɬ</v>
      </c>
      <c r="D570" s="4" t="str">
        <f>VLOOKUP(D571,Vocabulary!$A:$B,2,FALSE)</f>
        <v xml:space="preserve"> -ro:</v>
      </c>
      <c r="E570" s="4" t="str">
        <f>VLOOKUP(E571,Vocabulary!$A:$B,2,FALSE)</f>
        <v>jaβ(a)</v>
      </c>
      <c r="F570" s="4" t="str">
        <f>VLOOKUP(F571,Vocabulary!$A:$B,2,FALSE)</f>
        <v xml:space="preserve"> -ʧ</v>
      </c>
      <c r="G570" s="4" t="str">
        <f>VLOOKUP(G571,Vocabulary!$A:$B,2,FALSE)</f>
        <v>pæ:</v>
      </c>
      <c r="H570" s="4" t="str">
        <f>VLOOKUP(H571,Vocabulary!$A:$B,2,FALSE)</f>
        <v xml:space="preserve"> -n</v>
      </c>
    </row>
    <row r="571" spans="1:10" x14ac:dyDescent="0.25">
      <c r="B571" s="49" t="s">
        <v>932</v>
      </c>
      <c r="C571" s="49" t="s">
        <v>1150</v>
      </c>
      <c r="D571" s="49" t="s">
        <v>1141</v>
      </c>
      <c r="E571" s="49" t="s">
        <v>631</v>
      </c>
      <c r="F571" s="49" t="s">
        <v>1303</v>
      </c>
      <c r="G571" s="49" t="s">
        <v>386</v>
      </c>
      <c r="H571" s="49" t="s">
        <v>1305</v>
      </c>
    </row>
    <row r="572" spans="1:10" x14ac:dyDescent="0.25">
      <c r="B572" s="58" t="s">
        <v>1151</v>
      </c>
      <c r="C572" s="58"/>
      <c r="D572" s="58"/>
      <c r="E572" s="58"/>
    </row>
    <row r="574" spans="1:10" x14ac:dyDescent="0.25">
      <c r="A574" s="4">
        <v>122</v>
      </c>
      <c r="B574" s="4" t="str">
        <f>VLOOKUP(B575,Vocabulary!$A:$B,2,FALSE)</f>
        <v>pi</v>
      </c>
      <c r="C574" s="4" t="str">
        <f>VLOOKUP(C575,Vocabulary!$A:$B,2,FALSE)</f>
        <v>ʊtʊr</v>
      </c>
      <c r="D574" s="4" t="str">
        <f>VLOOKUP(D575,Vocabulary!$A:$B,2,FALSE)</f>
        <v>bur</v>
      </c>
      <c r="E574" s="4" t="str">
        <f>VLOOKUP(E575,Vocabulary!$A:$B,2,FALSE)</f>
        <v>sorqo:ɬ</v>
      </c>
      <c r="F574" s="4" t="str">
        <f>VLOOKUP(F575,Vocabulary!$A:$B,2,FALSE)</f>
        <v xml:space="preserve"> -t</v>
      </c>
      <c r="G574" s="4" t="str">
        <f>VLOOKUP(G575,Vocabulary!$A:$B,2,FALSE)</f>
        <v>jaβ(a)</v>
      </c>
      <c r="H574" s="4" t="str">
        <f>VLOOKUP(H575,Vocabulary!$A:$B,2,FALSE)</f>
        <v xml:space="preserve"> -tak</v>
      </c>
    </row>
    <row r="575" spans="1:10" x14ac:dyDescent="0.25">
      <c r="B575" s="49" t="s">
        <v>932</v>
      </c>
      <c r="C575" s="49" t="s">
        <v>805</v>
      </c>
      <c r="D575" s="49" t="s">
        <v>806</v>
      </c>
      <c r="E575" s="49" t="s">
        <v>1150</v>
      </c>
      <c r="F575" s="49" t="s">
        <v>418</v>
      </c>
      <c r="G575" s="49" t="s">
        <v>631</v>
      </c>
      <c r="H575" s="49" t="s">
        <v>1224</v>
      </c>
    </row>
    <row r="576" spans="1:10" x14ac:dyDescent="0.25">
      <c r="B576" s="58" t="s">
        <v>1153</v>
      </c>
      <c r="C576" s="58"/>
      <c r="D576" s="58"/>
      <c r="E576" s="58"/>
      <c r="F576" s="58"/>
    </row>
    <row r="578" spans="1:11" x14ac:dyDescent="0.25">
      <c r="A578" s="4">
        <v>123</v>
      </c>
      <c r="B578" s="4" t="str">
        <f>VLOOKUP(B579,Vocabulary!$A:$B,2,FALSE)</f>
        <v>pi</v>
      </c>
      <c r="C578" s="4" t="str">
        <f>VLOOKUP(C579,Vocabulary!$A:$B,2,FALSE)</f>
        <v>æŋk(ɪ)</v>
      </c>
      <c r="D578" s="4" t="str">
        <f>VLOOKUP(D579,Vocabulary!$A:$B,2,FALSE)</f>
        <v xml:space="preserve"> -t</v>
      </c>
      <c r="E578" s="4" t="str">
        <f>VLOOKUP(E579,Vocabulary!$A:$B,2,FALSE)</f>
        <v xml:space="preserve"> -(k)a:</v>
      </c>
      <c r="F578" s="4" t="str">
        <f>VLOOKUP(F579,Vocabulary!$A:$B,2,FALSE)</f>
        <v>nam</v>
      </c>
      <c r="G578" s="4" t="str">
        <f>VLOOKUP(G579,Vocabulary!$A:$B,2,FALSE)</f>
        <v xml:space="preserve"> -(k)a:</v>
      </c>
      <c r="H578" s="4" t="str">
        <f>VLOOKUP(H579,Vocabulary!$A:$B,2,FALSE)</f>
        <v>aβ̞(ə)</v>
      </c>
      <c r="I578" s="4" t="str">
        <f>VLOOKUP(I579,Vocabulary!$A:$B,2,FALSE)</f>
        <v xml:space="preserve"> -ʧ</v>
      </c>
      <c r="J578" s="4" t="str">
        <f>VLOOKUP(J579,Vocabulary!$A:$B,2,FALSE)</f>
        <v>iɾ(ɪ)</v>
      </c>
      <c r="K578" s="4" t="str">
        <f>VLOOKUP(K579,Vocabulary!$A:$B,2,FALSE)</f>
        <v xml:space="preserve"> -sɨŋ</v>
      </c>
    </row>
    <row r="579" spans="1:11" x14ac:dyDescent="0.25">
      <c r="B579" s="49" t="s">
        <v>932</v>
      </c>
      <c r="C579" s="49" t="s">
        <v>1155</v>
      </c>
      <c r="D579" s="49" t="s">
        <v>418</v>
      </c>
      <c r="E579" s="49" t="s">
        <v>876</v>
      </c>
      <c r="F579" s="49" t="s">
        <v>439</v>
      </c>
      <c r="G579" s="49" t="s">
        <v>876</v>
      </c>
      <c r="H579" s="49" t="s">
        <v>622</v>
      </c>
      <c r="I579" s="49" t="s">
        <v>1303</v>
      </c>
      <c r="J579" s="49" t="s">
        <v>900</v>
      </c>
      <c r="K579" s="49" t="s">
        <v>1054</v>
      </c>
    </row>
    <row r="580" spans="1:11" x14ac:dyDescent="0.25">
      <c r="B580" s="58" t="s">
        <v>1161</v>
      </c>
      <c r="C580" s="58"/>
      <c r="D580" s="58"/>
      <c r="E580" s="58"/>
    </row>
    <row r="582" spans="1:11" x14ac:dyDescent="0.25">
      <c r="A582" s="4">
        <v>124</v>
      </c>
      <c r="B582" s="4" t="str">
        <f>VLOOKUP(B583,Vocabulary!$A:$B,2,FALSE)</f>
        <v>pi</v>
      </c>
      <c r="C582" s="4" t="str">
        <f>VLOOKUP(C583,Vocabulary!$A:$B,2,FALSE)</f>
        <v>sorqo:ɬ</v>
      </c>
      <c r="D582" s="4" t="str">
        <f>VLOOKUP(D583,Vocabulary!$A:$B,2,FALSE)</f>
        <v xml:space="preserve"> -ro:</v>
      </c>
      <c r="E582" s="4" t="str">
        <f>VLOOKUP(E583,Vocabulary!$A:$B,2,FALSE)</f>
        <v xml:space="preserve"> -(k)a:</v>
      </c>
      <c r="F582" s="4" t="str">
        <f>VLOOKUP(F583,Vocabulary!$A:$B,2,FALSE)</f>
        <v>nam</v>
      </c>
      <c r="G582" s="4" t="str">
        <f>VLOOKUP(G583,Vocabulary!$A:$B,2,FALSE)</f>
        <v xml:space="preserve"> -(k)a:</v>
      </c>
      <c r="H582" s="4" t="str">
        <f>VLOOKUP(H583,Vocabulary!$A:$B,2,FALSE)</f>
        <v>aβ̞(ə)</v>
      </c>
      <c r="I582" s="4" t="str">
        <f>VLOOKUP(I583,Vocabulary!$A:$B,2,FALSE)</f>
        <v xml:space="preserve"> -ʧ</v>
      </c>
      <c r="J582" s="4" t="str">
        <f>VLOOKUP(J583,Vocabulary!$A:$B,2,FALSE)</f>
        <v>iɾ(ɪ)</v>
      </c>
      <c r="K582" s="4" t="str">
        <f>VLOOKUP(K583,Vocabulary!$A:$B,2,FALSE)</f>
        <v xml:space="preserve"> -sɨŋ</v>
      </c>
    </row>
    <row r="583" spans="1:11" x14ac:dyDescent="0.25">
      <c r="B583" s="49" t="s">
        <v>932</v>
      </c>
      <c r="C583" s="49" t="s">
        <v>1150</v>
      </c>
      <c r="D583" s="49" t="s">
        <v>1141</v>
      </c>
      <c r="E583" s="49" t="s">
        <v>876</v>
      </c>
      <c r="F583" s="49" t="s">
        <v>439</v>
      </c>
      <c r="G583" s="49" t="s">
        <v>876</v>
      </c>
      <c r="H583" s="49" t="s">
        <v>622</v>
      </c>
      <c r="I583" s="49" t="s">
        <v>1303</v>
      </c>
      <c r="J583" s="49" t="s">
        <v>900</v>
      </c>
      <c r="K583" s="49" t="s">
        <v>1054</v>
      </c>
    </row>
    <row r="584" spans="1:11" x14ac:dyDescent="0.25">
      <c r="B584" s="58" t="s">
        <v>1160</v>
      </c>
      <c r="C584" s="58"/>
      <c r="D584" s="58"/>
      <c r="E584" s="58"/>
    </row>
    <row r="586" spans="1:11" x14ac:dyDescent="0.25">
      <c r="A586" s="4">
        <v>125</v>
      </c>
      <c r="B586" s="4" t="str">
        <f>VLOOKUP(B587,Vocabulary!$A:$B,2,FALSE)</f>
        <v>pi</v>
      </c>
      <c r="C586" s="4" t="str">
        <f>VLOOKUP(C587,Vocabulary!$A:$B,2,FALSE)</f>
        <v>nam</v>
      </c>
      <c r="D586" s="4" t="str">
        <f>VLOOKUP(D587,Vocabulary!$A:$B,2,FALSE)</f>
        <v xml:space="preserve"> -(k)a:</v>
      </c>
      <c r="E586" s="4" t="str">
        <f>VLOOKUP(E587,Vocabulary!$A:$B,2,FALSE)</f>
        <v>aβ̞(ə)</v>
      </c>
      <c r="F586" s="4" t="str">
        <f>VLOOKUP(F587,Vocabulary!$A:$B,2,FALSE)</f>
        <v xml:space="preserve"> -saŋ</v>
      </c>
    </row>
    <row r="587" spans="1:11" x14ac:dyDescent="0.25">
      <c r="B587" s="49" t="s">
        <v>932</v>
      </c>
      <c r="C587" s="49" t="s">
        <v>439</v>
      </c>
      <c r="D587" s="49" t="s">
        <v>876</v>
      </c>
      <c r="E587" s="49" t="s">
        <v>622</v>
      </c>
      <c r="F587" s="49" t="s">
        <v>1085</v>
      </c>
    </row>
    <row r="588" spans="1:11" x14ac:dyDescent="0.25">
      <c r="B588" s="58" t="s">
        <v>1164</v>
      </c>
      <c r="C588" s="58"/>
      <c r="D588" s="58"/>
      <c r="E588" s="48" t="s">
        <v>1165</v>
      </c>
      <c r="F588" s="48"/>
      <c r="G588" s="48"/>
    </row>
    <row r="590" spans="1:11" x14ac:dyDescent="0.25">
      <c r="A590" s="4">
        <v>126</v>
      </c>
      <c r="B590" s="4" t="str">
        <f>VLOOKUP(B591,Vocabulary!$A:$B,2,FALSE)</f>
        <v>pi</v>
      </c>
      <c r="C590" s="4" t="str">
        <f>VLOOKUP(C591,Vocabulary!$A:$B,2,FALSE)</f>
        <v>nam</v>
      </c>
      <c r="D590" s="4" t="str">
        <f>VLOOKUP(D591,Vocabulary!$A:$B,2,FALSE)</f>
        <v xml:space="preserve"> -(k)a:</v>
      </c>
      <c r="E590" s="4" t="str">
        <f>VLOOKUP(E591,Vocabulary!$A:$B,2,FALSE)</f>
        <v>aβ̞(ə)</v>
      </c>
      <c r="F590" s="4" t="str">
        <f>VLOOKUP(F591,Vocabulary!$A:$B,2,FALSE)</f>
        <v xml:space="preserve"> -ʧ</v>
      </c>
      <c r="G590" s="4" t="str">
        <f>VLOOKUP(G591,Vocabulary!$A:$B,2,FALSE)</f>
        <v>jaβ(a)</v>
      </c>
      <c r="H590" s="4" t="str">
        <f>VLOOKUP(H591,Vocabulary!$A:$B,2,FALSE)</f>
        <v xml:space="preserve"> -saŋ</v>
      </c>
    </row>
    <row r="591" spans="1:11" x14ac:dyDescent="0.25">
      <c r="B591" s="49" t="s">
        <v>932</v>
      </c>
      <c r="C591" s="49" t="s">
        <v>439</v>
      </c>
      <c r="D591" s="49" t="s">
        <v>876</v>
      </c>
      <c r="E591" s="49" t="s">
        <v>622</v>
      </c>
      <c r="F591" s="49" t="s">
        <v>1303</v>
      </c>
      <c r="G591" s="49" t="s">
        <v>631</v>
      </c>
      <c r="H591" s="49" t="s">
        <v>1085</v>
      </c>
    </row>
    <row r="592" spans="1:11" x14ac:dyDescent="0.25">
      <c r="B592" s="58" t="s">
        <v>1166</v>
      </c>
      <c r="C592" s="58"/>
      <c r="D592" s="58"/>
      <c r="E592" s="58"/>
      <c r="F592" s="58" t="s">
        <v>1167</v>
      </c>
      <c r="G592" s="58"/>
      <c r="H592" s="58"/>
      <c r="I592" s="58"/>
    </row>
    <row r="594" spans="1:13" x14ac:dyDescent="0.25">
      <c r="A594" s="4">
        <v>127</v>
      </c>
      <c r="B594" s="4" t="str">
        <f>VLOOKUP(B595,Vocabulary!$A:$B,2,FALSE)</f>
        <v>pi</v>
      </c>
      <c r="C594" s="4" t="str">
        <f>VLOOKUP(C595,Vocabulary!$A:$B,2,FALSE)</f>
        <v>æŋk(ɪ)</v>
      </c>
      <c r="D594" s="4" t="str">
        <f>VLOOKUP(D595,Vocabulary!$A:$B,2,FALSE)</f>
        <v xml:space="preserve"> -t</v>
      </c>
      <c r="E594" s="4" t="str">
        <f>VLOOKUP(E595,Vocabulary!$A:$B,2,FALSE)</f>
        <v xml:space="preserve"> -(k)a:</v>
      </c>
      <c r="F594" s="4" t="str">
        <f>VLOOKUP(F595,Vocabulary!$A:$B,2,FALSE)</f>
        <v>ʊtʊr</v>
      </c>
      <c r="G594" s="4" t="str">
        <f>VLOOKUP(G595,Vocabulary!$A:$B,2,FALSE)</f>
        <v>bur</v>
      </c>
      <c r="H594" s="4" t="str">
        <f>VLOOKUP(H595,Vocabulary!$A:$B,2,FALSE)</f>
        <v>nam</v>
      </c>
      <c r="I594" s="4" t="str">
        <f>VLOOKUP(I595,Vocabulary!$A:$B,2,FALSE)</f>
        <v xml:space="preserve"> -(k)a:</v>
      </c>
      <c r="J594" s="4" t="str">
        <f>VLOOKUP(J595,Vocabulary!$A:$B,2,FALSE)</f>
        <v>aβ̞(ə)</v>
      </c>
      <c r="K594" s="4" t="str">
        <f>VLOOKUP(K595,Vocabulary!$A:$B,2,FALSE)</f>
        <v xml:space="preserve"> -ʧ</v>
      </c>
      <c r="L594" s="4" t="str">
        <f>VLOOKUP(L595,Vocabulary!$A:$B,2,FALSE)</f>
        <v>iɾ(ɪ)</v>
      </c>
      <c r="M594" s="4" t="str">
        <f>VLOOKUP(M595,Vocabulary!$A:$B,2,FALSE)</f>
        <v xml:space="preserve"> -tɨk</v>
      </c>
    </row>
    <row r="595" spans="1:13" x14ac:dyDescent="0.25">
      <c r="B595" s="49" t="s">
        <v>932</v>
      </c>
      <c r="C595" s="49" t="s">
        <v>1155</v>
      </c>
      <c r="D595" s="49" t="s">
        <v>418</v>
      </c>
      <c r="E595" s="49" t="s">
        <v>876</v>
      </c>
      <c r="F595" s="49" t="s">
        <v>805</v>
      </c>
      <c r="G595" s="49" t="s">
        <v>806</v>
      </c>
      <c r="H595" s="49" t="s">
        <v>439</v>
      </c>
      <c r="I595" s="49" t="s">
        <v>876</v>
      </c>
      <c r="J595" s="49" t="s">
        <v>622</v>
      </c>
      <c r="K595" s="49" t="s">
        <v>1303</v>
      </c>
      <c r="L595" s="49" t="s">
        <v>1168</v>
      </c>
      <c r="M595" s="49" t="s">
        <v>1227</v>
      </c>
    </row>
    <row r="596" spans="1:13" x14ac:dyDescent="0.25">
      <c r="B596" s="58" t="s">
        <v>1169</v>
      </c>
      <c r="C596" s="58"/>
      <c r="D596" s="58"/>
      <c r="E596" s="58"/>
    </row>
    <row r="598" spans="1:13" x14ac:dyDescent="0.25">
      <c r="A598" s="4">
        <v>128</v>
      </c>
      <c r="B598" s="4" t="str">
        <f>VLOOKUP(B599,Vocabulary!$A:$B,2,FALSE)</f>
        <v>manæ</v>
      </c>
      <c r="C598" s="4" t="str">
        <f>VLOOKUP(C599,Vocabulary!$A:$B,2,FALSE)</f>
        <v>æŋk(ɪ)</v>
      </c>
      <c r="D598" s="4" t="str">
        <f>VLOOKUP(D599,Vocabulary!$A:$B,2,FALSE)</f>
        <v>kɔj</v>
      </c>
    </row>
    <row r="599" spans="1:13" x14ac:dyDescent="0.25">
      <c r="B599" s="50" t="s">
        <v>1172</v>
      </c>
      <c r="C599" s="50" t="s">
        <v>1155</v>
      </c>
      <c r="D599" s="50" t="s">
        <v>1176</v>
      </c>
    </row>
    <row r="600" spans="1:13" x14ac:dyDescent="0.25">
      <c r="B600" s="58" t="s">
        <v>1177</v>
      </c>
      <c r="C600" s="58"/>
      <c r="D600" s="58"/>
    </row>
    <row r="602" spans="1:13" x14ac:dyDescent="0.25">
      <c r="A602" s="4">
        <v>129</v>
      </c>
      <c r="B602" s="4" t="str">
        <f>VLOOKUP(B603,Vocabulary!$A:$B,2,FALSE)</f>
        <v>pi</v>
      </c>
      <c r="C602" s="4" t="str">
        <f>VLOOKUP(C603,Vocabulary!$A:$B,2,FALSE)</f>
        <v>æŋk(ɪ)</v>
      </c>
      <c r="D602" s="4" t="str">
        <f>VLOOKUP(D603,Vocabulary!$A:$B,2,FALSE)</f>
        <v xml:space="preserve"> -t</v>
      </c>
      <c r="E602" s="4" t="str">
        <f>VLOOKUP(E603,Vocabulary!$A:$B,2,FALSE)</f>
        <v xml:space="preserve"> -(k)a:</v>
      </c>
      <c r="F602" s="4" t="str">
        <f>VLOOKUP(F603,Vocabulary!$A:$B,2,FALSE)</f>
        <v>ʃin</v>
      </c>
      <c r="G602" s="4" t="str">
        <f>VLOOKUP(G603,Vocabulary!$A:$B,2,FALSE)</f>
        <v>nam</v>
      </c>
      <c r="H602" s="4" t="str">
        <f>VLOOKUP(H603,Vocabulary!$A:$B,2,FALSE)</f>
        <v xml:space="preserve"> -(k)a:</v>
      </c>
      <c r="I602" s="4" t="str">
        <f>VLOOKUP(I603,Vocabulary!$A:$B,2,FALSE)</f>
        <v>aβ̞(ə)</v>
      </c>
      <c r="J602" s="4" t="str">
        <f>VLOOKUP(J603,Vocabulary!$A:$B,2,FALSE)</f>
        <v xml:space="preserve"> -ʧ</v>
      </c>
      <c r="K602" s="4" t="str">
        <f>VLOOKUP(K603,Vocabulary!$A:$B,2,FALSE)</f>
        <v>iɾ(ɪ)</v>
      </c>
      <c r="L602" s="4" t="str">
        <f>VLOOKUP(L603,Vocabulary!$A:$B,2,FALSE)</f>
        <v xml:space="preserve"> -sɨŋ</v>
      </c>
    </row>
    <row r="603" spans="1:13" x14ac:dyDescent="0.25">
      <c r="B603" s="50" t="s">
        <v>932</v>
      </c>
      <c r="C603" s="50" t="s">
        <v>1155</v>
      </c>
      <c r="D603" s="50" t="s">
        <v>418</v>
      </c>
      <c r="E603" s="50" t="s">
        <v>876</v>
      </c>
      <c r="F603" s="50" t="s">
        <v>1178</v>
      </c>
      <c r="G603" s="50" t="s">
        <v>439</v>
      </c>
      <c r="H603" s="50" t="s">
        <v>876</v>
      </c>
      <c r="I603" s="50" t="s">
        <v>622</v>
      </c>
      <c r="J603" s="50" t="s">
        <v>1303</v>
      </c>
      <c r="K603" s="50" t="s">
        <v>900</v>
      </c>
      <c r="L603" s="50" t="s">
        <v>1054</v>
      </c>
    </row>
    <row r="604" spans="1:13" x14ac:dyDescent="0.25">
      <c r="B604" s="58" t="s">
        <v>1181</v>
      </c>
      <c r="C604" s="58"/>
      <c r="D604" s="58"/>
      <c r="E604" s="58"/>
    </row>
    <row r="606" spans="1:13" x14ac:dyDescent="0.25">
      <c r="A606" s="4">
        <v>130</v>
      </c>
      <c r="B606" s="4" t="str">
        <f>VLOOKUP(B607,Vocabulary!$A:$B,2,FALSE)</f>
        <v>pɑt</v>
      </c>
      <c r="C606" s="4" t="str">
        <f>VLOOKUP(C607,Vocabulary!$A:$B,2,FALSE)</f>
        <v>minij</v>
      </c>
      <c r="D606" s="4" t="str">
        <f>VLOOKUP(D607,Vocabulary!$A:$B,2,FALSE)</f>
        <v>nam</v>
      </c>
      <c r="E606" s="4" t="str">
        <f>VLOOKUP(E607,Vocabulary!$A:$B,2,FALSE)</f>
        <v xml:space="preserve"> -(ɪ)k</v>
      </c>
      <c r="F606" s="4" t="str">
        <f>VLOOKUP(F607,Vocabulary!$A:$B,2,FALSE)</f>
        <v>æŋk(ɪ)</v>
      </c>
      <c r="G606" s="4" t="str">
        <f>VLOOKUP(G607,Vocabulary!$A:$B,2,FALSE)</f>
        <v xml:space="preserve"> -t</v>
      </c>
      <c r="H606" s="4" t="str">
        <f>VLOOKUP(H607,Vocabulary!$A:$B,2,FALSE)</f>
        <v>aβ̞(ə)</v>
      </c>
      <c r="I606" s="4" t="str">
        <f>VLOOKUP(I607,Vocabulary!$A:$B,2,FALSE)</f>
        <v xml:space="preserve"> -ʧ</v>
      </c>
      <c r="J606" s="4" t="str">
        <f>VLOOKUP(J607,Vocabulary!$A:$B,2,FALSE)</f>
        <v>iɾ(ɪ)</v>
      </c>
      <c r="K606" s="4" t="str">
        <f>VLOOKUP(K607,Vocabulary!$A:$B,2,FALSE)</f>
        <v xml:space="preserve"> -sɨŋ</v>
      </c>
    </row>
    <row r="607" spans="1:13" x14ac:dyDescent="0.25">
      <c r="B607" s="50" t="s">
        <v>536</v>
      </c>
      <c r="C607" s="50" t="s">
        <v>1111</v>
      </c>
      <c r="D607" s="50" t="s">
        <v>439</v>
      </c>
      <c r="E607" s="50" t="s">
        <v>535</v>
      </c>
      <c r="F607" s="50" t="s">
        <v>1155</v>
      </c>
      <c r="G607" s="50" t="s">
        <v>418</v>
      </c>
      <c r="H607" s="50" t="s">
        <v>622</v>
      </c>
      <c r="I607" s="50" t="s">
        <v>1303</v>
      </c>
      <c r="J607" s="50" t="s">
        <v>900</v>
      </c>
      <c r="K607" s="50" t="s">
        <v>1054</v>
      </c>
    </row>
    <row r="608" spans="1:13" x14ac:dyDescent="0.25">
      <c r="B608" s="58" t="s">
        <v>1182</v>
      </c>
      <c r="C608" s="58"/>
      <c r="D608" s="58"/>
      <c r="E608" s="58"/>
    </row>
    <row r="610" spans="1:15" x14ac:dyDescent="0.25">
      <c r="A610" s="4">
        <v>131</v>
      </c>
      <c r="B610" s="4" t="str">
        <f>VLOOKUP(B611,Vocabulary!$A:$B,2,FALSE)</f>
        <v>kevin</v>
      </c>
      <c r="C610" s="4" t="str">
        <f>VLOOKUP(C611,Vocabulary!$A:$B,2,FALSE)</f>
        <v>æŋk(ɪ)</v>
      </c>
      <c r="D610" s="4" t="str">
        <f>VLOOKUP(D611,Vocabulary!$A:$B,2,FALSE)</f>
        <v xml:space="preserve"> -t</v>
      </c>
      <c r="E610" s="4" t="str">
        <f>VLOOKUP(E611,Vocabulary!$A:$B,2,FALSE)</f>
        <v>pæ:</v>
      </c>
      <c r="F610" s="4" t="str">
        <f>VLOOKUP(F611,Vocabulary!$A:$B,2,FALSE)</f>
        <v xml:space="preserve"> -n</v>
      </c>
    </row>
    <row r="611" spans="1:15" x14ac:dyDescent="0.25">
      <c r="B611" s="50" t="s">
        <v>1183</v>
      </c>
      <c r="C611" s="50" t="s">
        <v>1155</v>
      </c>
      <c r="D611" s="50" t="s">
        <v>418</v>
      </c>
      <c r="E611" s="50" t="s">
        <v>386</v>
      </c>
      <c r="F611" s="50" t="s">
        <v>1305</v>
      </c>
    </row>
    <row r="612" spans="1:15" x14ac:dyDescent="0.25">
      <c r="B612" s="58" t="s">
        <v>1185</v>
      </c>
      <c r="C612" s="58"/>
      <c r="D612" s="58"/>
      <c r="E612" s="58"/>
    </row>
    <row r="614" spans="1:15" x14ac:dyDescent="0.25">
      <c r="A614" s="4">
        <v>132</v>
      </c>
      <c r="B614" s="4" t="str">
        <f>VLOOKUP(B615,Vocabulary!$A:$B,2,FALSE)</f>
        <v>kevin</v>
      </c>
      <c r="C614" s="4" t="str">
        <f>VLOOKUP(C615,Vocabulary!$A:$B,2,FALSE)</f>
        <v>æŋk(ɪ)</v>
      </c>
      <c r="D614" s="4" t="str">
        <f>VLOOKUP(D615,Vocabulary!$A:$B,2,FALSE)</f>
        <v xml:space="preserve"> -(k)as</v>
      </c>
      <c r="E614" s="4" t="str">
        <f>VLOOKUP(E615,Vocabulary!$A:$B,2,FALSE)</f>
        <v>kɪr</v>
      </c>
      <c r="F614" s="4" t="str">
        <f>VLOOKUP(F615,Vocabulary!$A:$B,2,FALSE)</f>
        <v xml:space="preserve"> -ɬo:</v>
      </c>
      <c r="G614" s="4" t="str">
        <f>VLOOKUP(G615,Vocabulary!$A:$B,2,FALSE)</f>
        <v xml:space="preserve"> -(k)e:</v>
      </c>
      <c r="H614" s="4" t="str">
        <f>VLOOKUP(H615,Vocabulary!$A:$B,2,FALSE)</f>
        <v>jaβ(a)</v>
      </c>
      <c r="I614" s="4" t="str">
        <f>VLOOKUP(I615,Vocabulary!$A:$B,2,FALSE)</f>
        <v xml:space="preserve"> -saŋ</v>
      </c>
    </row>
    <row r="615" spans="1:15" x14ac:dyDescent="0.25">
      <c r="B615" s="50" t="s">
        <v>1183</v>
      </c>
      <c r="C615" s="50" t="s">
        <v>1155</v>
      </c>
      <c r="D615" s="50" t="s">
        <v>1052</v>
      </c>
      <c r="E615" s="50" t="s">
        <v>1139</v>
      </c>
      <c r="F615" s="50" t="s">
        <v>1144</v>
      </c>
      <c r="G615" s="50" t="s">
        <v>877</v>
      </c>
      <c r="H615" s="50" t="s">
        <v>631</v>
      </c>
      <c r="I615" s="50" t="s">
        <v>1085</v>
      </c>
    </row>
    <row r="616" spans="1:15" x14ac:dyDescent="0.25">
      <c r="B616" s="58" t="s">
        <v>1186</v>
      </c>
      <c r="C616" s="58"/>
      <c r="D616" s="58"/>
      <c r="E616" s="58"/>
    </row>
    <row r="618" spans="1:15" x14ac:dyDescent="0.25">
      <c r="A618" s="4">
        <v>133</v>
      </c>
      <c r="B618" s="4" t="str">
        <f>VLOOKUP(B619,Vocabulary!$A:$B,2,FALSE)</f>
        <v>pɑt</v>
      </c>
      <c r="C618" s="4" t="str">
        <f>VLOOKUP(C619,Vocabulary!$A:$B,2,FALSE)</f>
        <v>tʰɑm</v>
      </c>
      <c r="D618" s="4" t="str">
        <f>VLOOKUP(D619,Vocabulary!$A:$B,2,FALSE)</f>
        <v>pæʃɪŋ</v>
      </c>
      <c r="E618" s="4" t="str">
        <f>VLOOKUP(E619,Vocabulary!$A:$B,2,FALSE)</f>
        <v xml:space="preserve"> -t</v>
      </c>
      <c r="F618" s="4" t="str">
        <f>VLOOKUP(F619,Vocabulary!$A:$B,2,FALSE)</f>
        <v>æmdar(ə)</v>
      </c>
      <c r="G618" s="4" t="str">
        <f>VLOOKUP(G619,Vocabulary!$A:$B,2,FALSE)</f>
        <v xml:space="preserve"> -tak</v>
      </c>
    </row>
    <row r="619" spans="1:15" x14ac:dyDescent="0.25">
      <c r="B619" s="50" t="s">
        <v>536</v>
      </c>
      <c r="C619" s="50" t="s">
        <v>1187</v>
      </c>
      <c r="D619" s="50" t="s">
        <v>498</v>
      </c>
      <c r="E619" s="50" t="s">
        <v>418</v>
      </c>
      <c r="F619" s="50" t="s">
        <v>1188</v>
      </c>
      <c r="G619" s="50" t="s">
        <v>1224</v>
      </c>
    </row>
    <row r="620" spans="1:15" x14ac:dyDescent="0.25">
      <c r="B620" s="58" t="s">
        <v>1189</v>
      </c>
      <c r="C620" s="58"/>
      <c r="D620" s="58"/>
      <c r="E620" s="58" t="s">
        <v>1190</v>
      </c>
      <c r="F620" s="58"/>
      <c r="G620" s="58"/>
    </row>
    <row r="622" spans="1:15" x14ac:dyDescent="0.25">
      <c r="A622" s="4">
        <v>134</v>
      </c>
      <c r="B622" s="4" t="str">
        <f>VLOOKUP(B623,Vocabulary!$A:$B,2,FALSE)</f>
        <v>pɑt</v>
      </c>
      <c r="C622" s="4" t="str">
        <f>VLOOKUP(C623,Vocabulary!$A:$B,2,FALSE)</f>
        <v>tʰɑm</v>
      </c>
      <c r="D622" s="4" t="str">
        <f>VLOOKUP(D623,Vocabulary!$A:$B,2,FALSE)</f>
        <v>pæʃɪŋ</v>
      </c>
      <c r="E622" s="4" t="str">
        <f>VLOOKUP(E623,Vocabulary!$A:$B,2,FALSE)</f>
        <v xml:space="preserve"> -t</v>
      </c>
      <c r="F622" s="4" t="str">
        <f>VLOOKUP(F623,Vocabulary!$A:$B,2,FALSE)</f>
        <v>ɪn</v>
      </c>
      <c r="G622" s="4" t="str">
        <f>VLOOKUP(G623,Vocabulary!$A:$B,2,FALSE)</f>
        <v>æmdar(ə)</v>
      </c>
      <c r="H622" s="4" t="str">
        <f>VLOOKUP(H623,Vocabulary!$A:$B,2,FALSE)</f>
        <v xml:space="preserve"> -tak</v>
      </c>
    </row>
    <row r="623" spans="1:15" x14ac:dyDescent="0.25">
      <c r="B623" s="50" t="s">
        <v>536</v>
      </c>
      <c r="C623" s="50" t="s">
        <v>1187</v>
      </c>
      <c r="D623" s="50" t="s">
        <v>498</v>
      </c>
      <c r="E623" s="50" t="s">
        <v>418</v>
      </c>
      <c r="F623" s="50" t="s">
        <v>438</v>
      </c>
      <c r="G623" s="50" t="s">
        <v>1188</v>
      </c>
      <c r="H623" s="50" t="s">
        <v>1224</v>
      </c>
    </row>
    <row r="624" spans="1:15" x14ac:dyDescent="0.25">
      <c r="B624" s="58" t="s">
        <v>1192</v>
      </c>
      <c r="C624" s="58"/>
      <c r="D624" s="58"/>
      <c r="E624" s="58"/>
      <c r="F624" s="58"/>
      <c r="G624" s="58"/>
      <c r="H624" s="58"/>
      <c r="I624" s="58"/>
      <c r="J624" s="58"/>
      <c r="K624" s="58"/>
      <c r="L624" s="58"/>
      <c r="M624" s="58"/>
      <c r="N624" s="58"/>
      <c r="O624" s="58"/>
    </row>
    <row r="626" spans="1:10" x14ac:dyDescent="0.25">
      <c r="A626" s="4">
        <v>135</v>
      </c>
      <c r="B626" s="4" t="str">
        <f>VLOOKUP(B627,Vocabulary!$A:$B,2,FALSE)</f>
        <v>pɑt</v>
      </c>
      <c r="C626" s="4" t="str">
        <f>VLOOKUP(C627,Vocabulary!$A:$B,2,FALSE)</f>
        <v xml:space="preserve"> -in</v>
      </c>
      <c r="D626" s="4" t="str">
        <f>VLOOKUP(D627,Vocabulary!$A:$B,2,FALSE)</f>
        <v>pæʃɪŋ</v>
      </c>
      <c r="E626" s="4" t="str">
        <f>VLOOKUP(E627,Vocabulary!$A:$B,2,FALSE)</f>
        <v>minij</v>
      </c>
      <c r="F626" s="4" t="str">
        <f>VLOOKUP(F627,Vocabulary!$A:$B,2,FALSE)</f>
        <v>pæʃɪŋ</v>
      </c>
      <c r="G626" s="4" t="str">
        <f>VLOOKUP(G627,Vocabulary!$A:$B,2,FALSE)</f>
        <v xml:space="preserve"> -(k)as</v>
      </c>
      <c r="H626" s="4" t="str">
        <f>VLOOKUP(H627,Vocabulary!$A:$B,2,FALSE)</f>
        <v>tʰɑm</v>
      </c>
    </row>
    <row r="627" spans="1:10" x14ac:dyDescent="0.25">
      <c r="B627" s="50" t="s">
        <v>536</v>
      </c>
      <c r="C627" s="50" t="s">
        <v>411</v>
      </c>
      <c r="D627" s="50" t="s">
        <v>498</v>
      </c>
      <c r="E627" s="50" t="s">
        <v>1111</v>
      </c>
      <c r="F627" s="50" t="s">
        <v>498</v>
      </c>
      <c r="G627" s="50" t="s">
        <v>1052</v>
      </c>
      <c r="H627" s="50" t="s">
        <v>1187</v>
      </c>
    </row>
    <row r="628" spans="1:10" x14ac:dyDescent="0.25">
      <c r="B628" s="58" t="s">
        <v>1193</v>
      </c>
      <c r="C628" s="58"/>
      <c r="D628" s="58"/>
      <c r="E628" s="58"/>
    </row>
    <row r="630" spans="1:10" x14ac:dyDescent="0.25">
      <c r="A630" s="4">
        <v>136</v>
      </c>
      <c r="B630" s="4" t="str">
        <f>VLOOKUP(B631,Vocabulary!$A:$B,2,FALSE)</f>
        <v>pit (nar)</v>
      </c>
      <c r="C630" s="4" t="str">
        <f>VLOOKUP(C631,Vocabulary!$A:$B,2,FALSE)</f>
        <v>ʊtʊr</v>
      </c>
      <c r="D630" s="4" t="str">
        <f>VLOOKUP(D631,Vocabulary!$A:$B,2,FALSE)</f>
        <v>bur</v>
      </c>
      <c r="E630" s="4" t="str">
        <f>VLOOKUP(E631,Vocabulary!$A:$B,2,FALSE)</f>
        <v>pota:</v>
      </c>
      <c r="F630" s="4" t="str">
        <f>VLOOKUP(F631,Vocabulary!$A:$B,2,FALSE)</f>
        <v>it(ɪ)</v>
      </c>
      <c r="G630" s="4" t="str">
        <f>VLOOKUP(G631,Vocabulary!$A:$B,2,FALSE)</f>
        <v xml:space="preserve"> -tɨk</v>
      </c>
    </row>
    <row r="631" spans="1:10" x14ac:dyDescent="0.25">
      <c r="B631" s="50" t="s">
        <v>779</v>
      </c>
      <c r="C631" s="50" t="s">
        <v>805</v>
      </c>
      <c r="D631" s="50" t="s">
        <v>806</v>
      </c>
      <c r="E631" s="50" t="s">
        <v>618</v>
      </c>
      <c r="F631" s="50" t="s">
        <v>580</v>
      </c>
      <c r="G631" s="50" t="s">
        <v>1227</v>
      </c>
    </row>
    <row r="632" spans="1:10" x14ac:dyDescent="0.25">
      <c r="B632" s="58" t="s">
        <v>1194</v>
      </c>
      <c r="C632" s="58"/>
      <c r="D632" s="58"/>
      <c r="E632" s="58"/>
    </row>
    <row r="634" spans="1:10" x14ac:dyDescent="0.25">
      <c r="A634" s="4">
        <v>137</v>
      </c>
      <c r="B634" s="4" t="str">
        <f>VLOOKUP(B635,Vocabulary!$A:$B,2,FALSE)</f>
        <v>pit (nar)</v>
      </c>
      <c r="C634" s="4" t="str">
        <f>VLOOKUP(C635,Vocabulary!$A:$B,2,FALSE)</f>
        <v>xiʦe:</v>
      </c>
      <c r="D634" s="4" t="str">
        <f>VLOOKUP(D635,Vocabulary!$A:$B,2,FALSE)</f>
        <v>ʧʰ</v>
      </c>
      <c r="E634" s="4" t="str">
        <f>VLOOKUP(E635,Vocabulary!$A:$B,2,FALSE)</f>
        <v>uxɨr</v>
      </c>
      <c r="F634" s="4" t="str">
        <f>VLOOKUP(F635,Vocabulary!$A:$B,2,FALSE)</f>
        <v xml:space="preserve"> -in</v>
      </c>
      <c r="G634" s="4" t="str">
        <f>VLOOKUP(G635,Vocabulary!$A:$B,2,FALSE)</f>
        <v>max</v>
      </c>
      <c r="H634" s="4" t="str">
        <f>VLOOKUP(H635,Vocabulary!$A:$B,2,FALSE)</f>
        <v>it(ɪ)</v>
      </c>
      <c r="I634" s="4" t="str">
        <f>VLOOKUP(I635,Vocabulary!$A:$B,2,FALSE)</f>
        <v xml:space="preserve"> -tɨk</v>
      </c>
      <c r="J634" s="4" t="str">
        <f>VLOOKUP(J635,Vocabulary!$A:$B,2,FALSE)</f>
        <v xml:space="preserve"> -kɥi</v>
      </c>
    </row>
    <row r="635" spans="1:10" x14ac:dyDescent="0.25">
      <c r="B635" s="50" t="s">
        <v>779</v>
      </c>
      <c r="C635" s="50" t="s">
        <v>1105</v>
      </c>
      <c r="D635" s="50" t="s">
        <v>1312</v>
      </c>
      <c r="E635" s="50" t="s">
        <v>1196</v>
      </c>
      <c r="F635" s="50" t="s">
        <v>411</v>
      </c>
      <c r="G635" s="50" t="s">
        <v>1043</v>
      </c>
      <c r="H635" s="50" t="s">
        <v>580</v>
      </c>
      <c r="I635" s="50" t="s">
        <v>1227</v>
      </c>
      <c r="J635" s="50" t="s">
        <v>1195</v>
      </c>
    </row>
    <row r="636" spans="1:10" x14ac:dyDescent="0.25">
      <c r="B636" s="58" t="s">
        <v>1206</v>
      </c>
      <c r="C636" s="58"/>
      <c r="D636" s="58"/>
      <c r="E636" s="58"/>
    </row>
    <row r="638" spans="1:10" x14ac:dyDescent="0.25">
      <c r="B638" s="60" t="s">
        <v>1207</v>
      </c>
      <c r="C638" s="60"/>
      <c r="D638" s="60"/>
      <c r="E638" s="60"/>
      <c r="F638" s="60"/>
      <c r="G638" s="60"/>
    </row>
    <row r="639" spans="1:10" x14ac:dyDescent="0.25">
      <c r="A639" s="4" t="s">
        <v>1214</v>
      </c>
      <c r="B639" s="4" t="str">
        <f>VLOOKUP(B640,Vocabulary!$A:$B,2,FALSE)</f>
        <v>pi</v>
      </c>
      <c r="C639" s="4" t="str">
        <f>VLOOKUP(C640,Vocabulary!$A:$B,2,FALSE)</f>
        <v>su:</v>
      </c>
      <c r="D639" s="4" t="str">
        <f>VLOOKUP(D640,Vocabulary!$A:$B,2,FALSE)</f>
        <v>o(:)</v>
      </c>
      <c r="E639" s="4" t="str">
        <f>VLOOKUP(E640,Vocabulary!$A:$B,2,FALSE)</f>
        <v xml:space="preserve"> -tak</v>
      </c>
      <c r="F639" s="4" t="str">
        <f>VLOOKUP(F640,Vocabulary!$A:$B,2,FALSE)</f>
        <v xml:space="preserve"> -kɥi</v>
      </c>
    </row>
    <row r="640" spans="1:10" x14ac:dyDescent="0.25">
      <c r="B640" s="53" t="s">
        <v>932</v>
      </c>
      <c r="C640" s="53" t="s">
        <v>1209</v>
      </c>
      <c r="D640" s="53" t="s">
        <v>1210</v>
      </c>
      <c r="E640" s="53" t="s">
        <v>1224</v>
      </c>
      <c r="F640" s="53" t="s">
        <v>1195</v>
      </c>
    </row>
    <row r="641" spans="1:9" x14ac:dyDescent="0.25">
      <c r="B641" s="58" t="s">
        <v>1213</v>
      </c>
      <c r="C641" s="58"/>
      <c r="D641" s="58"/>
      <c r="E641" s="58"/>
      <c r="F641" s="58"/>
    </row>
    <row r="643" spans="1:9" x14ac:dyDescent="0.25">
      <c r="A643" s="4" t="s">
        <v>1215</v>
      </c>
      <c r="B643" s="4" t="str">
        <f>VLOOKUP(B644,Vocabulary!$A:$B,2,FALSE)</f>
        <v>pi</v>
      </c>
      <c r="C643" s="4" t="str">
        <f>VLOOKUP(C644,Vocabulary!$A:$B,2,FALSE)</f>
        <v>su:</v>
      </c>
      <c r="D643" s="4" t="str">
        <f>VLOOKUP(D644,Vocabulary!$A:$B,2,FALSE)</f>
        <v>o(:)</v>
      </c>
      <c r="E643" s="4" t="str">
        <f>VLOOKUP(E644,Vocabulary!$A:$B,2,FALSE)</f>
        <v xml:space="preserve"> -tak</v>
      </c>
    </row>
    <row r="644" spans="1:9" x14ac:dyDescent="0.25">
      <c r="B644" s="53" t="s">
        <v>932</v>
      </c>
      <c r="C644" s="53" t="s">
        <v>1209</v>
      </c>
      <c r="D644" s="53" t="s">
        <v>1210</v>
      </c>
      <c r="E644" s="53" t="s">
        <v>1224</v>
      </c>
      <c r="F644" s="53"/>
    </row>
    <row r="645" spans="1:9" x14ac:dyDescent="0.25">
      <c r="B645" s="58" t="s">
        <v>1220</v>
      </c>
      <c r="C645" s="58"/>
      <c r="D645" s="58"/>
      <c r="E645" s="58"/>
      <c r="F645" s="58"/>
    </row>
    <row r="647" spans="1:9" x14ac:dyDescent="0.25">
      <c r="A647" s="4" t="s">
        <v>1221</v>
      </c>
      <c r="B647" s="4" t="str">
        <f>VLOOKUP(B648,Vocabulary!$A:$B,2,FALSE)</f>
        <v>pi</v>
      </c>
      <c r="C647" s="4" t="str">
        <f>VLOOKUP(C648,Vocabulary!$A:$B,2,FALSE)</f>
        <v>su:</v>
      </c>
      <c r="D647" s="4" t="str">
        <f>VLOOKUP(D648,Vocabulary!$A:$B,2,FALSE)</f>
        <v>o(:)</v>
      </c>
      <c r="E647" s="4" t="str">
        <f>VLOOKUP(E648,Vocabulary!$A:$B,2,FALSE)</f>
        <v xml:space="preserve"> -ʧ</v>
      </c>
      <c r="F647" s="4" t="str">
        <f>VLOOKUP(F648,Vocabulary!$A:$B,2,FALSE)</f>
        <v>ʧʰat(a)</v>
      </c>
      <c r="G647" s="4" t="str">
        <f>VLOOKUP(G648,Vocabulary!$A:$B,2,FALSE)</f>
        <v xml:space="preserve"> -tak</v>
      </c>
      <c r="H647" s="4" t="str">
        <f>VLOOKUP(H648,Vocabulary!$A:$B,2,FALSE)</f>
        <v xml:space="preserve"> -kɥi</v>
      </c>
    </row>
    <row r="648" spans="1:9" x14ac:dyDescent="0.25">
      <c r="B648" s="53" t="s">
        <v>932</v>
      </c>
      <c r="C648" s="53" t="s">
        <v>1209</v>
      </c>
      <c r="D648" s="53" t="s">
        <v>1210</v>
      </c>
      <c r="E648" s="53" t="s">
        <v>1303</v>
      </c>
      <c r="F648" s="53" t="s">
        <v>1219</v>
      </c>
      <c r="G648" s="53" t="s">
        <v>1224</v>
      </c>
      <c r="H648" s="53" t="s">
        <v>1195</v>
      </c>
    </row>
    <row r="649" spans="1:9" x14ac:dyDescent="0.25">
      <c r="B649" s="58" t="s">
        <v>1222</v>
      </c>
      <c r="C649" s="58"/>
      <c r="D649" s="58"/>
    </row>
    <row r="651" spans="1:9" x14ac:dyDescent="0.25">
      <c r="A651" s="4" t="s">
        <v>1223</v>
      </c>
      <c r="B651" s="4" t="str">
        <f>VLOOKUP(B652,Vocabulary!$A:$B,2,FALSE)</f>
        <v>pi</v>
      </c>
      <c r="C651" s="4" t="str">
        <f>VLOOKUP(C652,Vocabulary!$A:$B,2,FALSE)</f>
        <v>su:</v>
      </c>
      <c r="D651" s="4" t="str">
        <f>VLOOKUP(D652,Vocabulary!$A:$B,2,FALSE)</f>
        <v>o(:)</v>
      </c>
      <c r="E651" s="4" t="str">
        <f>VLOOKUP(E652,Vocabulary!$A:$B,2,FALSE)</f>
        <v xml:space="preserve"> -ʧ</v>
      </c>
      <c r="F651" s="4" t="str">
        <f>VLOOKUP(F652,Vocabulary!$A:$B,2,FALSE)</f>
        <v>ʧʰat(a)</v>
      </c>
      <c r="G651" s="4" t="str">
        <f>VLOOKUP(G652,Vocabulary!$A:$B,2,FALSE)</f>
        <v xml:space="preserve"> -tak</v>
      </c>
    </row>
    <row r="652" spans="1:9" x14ac:dyDescent="0.25">
      <c r="B652" s="53" t="s">
        <v>932</v>
      </c>
      <c r="C652" s="53" t="s">
        <v>1209</v>
      </c>
      <c r="D652" s="53" t="s">
        <v>1210</v>
      </c>
      <c r="E652" s="53" t="s">
        <v>1303</v>
      </c>
      <c r="F652" s="53" t="s">
        <v>1219</v>
      </c>
      <c r="G652" s="53" t="s">
        <v>1224</v>
      </c>
    </row>
    <row r="653" spans="1:9" x14ac:dyDescent="0.25">
      <c r="B653" s="58" t="s">
        <v>1228</v>
      </c>
      <c r="C653" s="58"/>
      <c r="D653" s="58"/>
    </row>
    <row r="655" spans="1:9" x14ac:dyDescent="0.25">
      <c r="A655" s="4" t="s">
        <v>1229</v>
      </c>
      <c r="B655" s="4" t="str">
        <f>VLOOKUP(B656,Vocabulary!$A:$B,2,FALSE)</f>
        <v>pɑt</v>
      </c>
      <c r="C655" s="4" t="str">
        <f>VLOOKUP(C656,Vocabulary!$A:$B,2,FALSE)</f>
        <v xml:space="preserve"> -in</v>
      </c>
      <c r="D655" s="4" t="str">
        <f>VLOOKUP(D656,Vocabulary!$A:$B,2,FALSE)</f>
        <v>pæʃɪŋ</v>
      </c>
      <c r="E655" s="4" t="str">
        <f>VLOOKUP(E656,Vocabulary!$A:$B,2,FALSE)</f>
        <v>minij</v>
      </c>
      <c r="F655" s="4" t="str">
        <f>VLOOKUP(F656,Vocabulary!$A:$B,2,FALSE)</f>
        <v xml:space="preserve"> -x</v>
      </c>
      <c r="G655" s="4" t="str">
        <f>VLOOKUP(G656,Vocabulary!$A:$B,2,FALSE)</f>
        <v>ʃɪk</v>
      </c>
      <c r="H655" s="4" t="str">
        <f>VLOOKUP(H656,Vocabulary!$A:$B,2,FALSE)</f>
        <v>tʰɑm</v>
      </c>
      <c r="I655" s="4" t="str">
        <f>VLOOKUP(I656,Vocabulary!$A:$B,2,FALSE)</f>
        <v>pɪʃ</v>
      </c>
    </row>
    <row r="656" spans="1:9" x14ac:dyDescent="0.25">
      <c r="B656" s="53" t="s">
        <v>536</v>
      </c>
      <c r="C656" s="53" t="s">
        <v>411</v>
      </c>
      <c r="D656" s="53" t="s">
        <v>498</v>
      </c>
      <c r="E656" s="53" t="s">
        <v>1111</v>
      </c>
      <c r="F656" s="53" t="s">
        <v>1237</v>
      </c>
      <c r="G656" s="53" t="s">
        <v>1235</v>
      </c>
      <c r="H656" s="53" t="s">
        <v>1187</v>
      </c>
      <c r="I656" s="53" t="s">
        <v>1242</v>
      </c>
    </row>
    <row r="657" spans="1:9" x14ac:dyDescent="0.25">
      <c r="B657" s="58" t="s">
        <v>1243</v>
      </c>
      <c r="C657" s="58"/>
      <c r="D657" s="58"/>
      <c r="E657" s="58"/>
      <c r="F657" s="58"/>
      <c r="G657" s="58"/>
    </row>
    <row r="659" spans="1:9" x14ac:dyDescent="0.25">
      <c r="A659" s="4" t="s">
        <v>1230</v>
      </c>
      <c r="B659" s="4" t="str">
        <f>VLOOKUP(B660,Vocabulary!$A:$B,2,FALSE)</f>
        <v>pɑt</v>
      </c>
      <c r="C659" s="4" t="str">
        <f>VLOOKUP(C660,Vocabulary!$A:$B,2,FALSE)</f>
        <v xml:space="preserve"> -in</v>
      </c>
      <c r="D659" s="4" t="str">
        <f>VLOOKUP(D660,Vocabulary!$A:$B,2,FALSE)</f>
        <v>pæʃɪŋ</v>
      </c>
      <c r="E659" s="4" t="str">
        <f>VLOOKUP(E660,Vocabulary!$A:$B,2,FALSE)</f>
        <v>minij</v>
      </c>
      <c r="F659" s="4" t="str">
        <f>VLOOKUP(F660,Vocabulary!$A:$B,2,FALSE)</f>
        <v>pæʃɪŋ</v>
      </c>
      <c r="G659" s="4" t="str">
        <f>VLOOKUP(G660,Vocabulary!$A:$B,2,FALSE)</f>
        <v>ʃɪk</v>
      </c>
      <c r="H659" s="4" t="str">
        <f>VLOOKUP(H660,Vocabulary!$A:$B,2,FALSE)</f>
        <v>tʰɑm</v>
      </c>
      <c r="I659" s="4" t="str">
        <f>VLOOKUP(I660,Vocabulary!$A:$B,2,FALSE)</f>
        <v>pɪʃ</v>
      </c>
    </row>
    <row r="660" spans="1:9" x14ac:dyDescent="0.25">
      <c r="B660" s="53" t="s">
        <v>536</v>
      </c>
      <c r="C660" s="53" t="s">
        <v>411</v>
      </c>
      <c r="D660" s="53" t="s">
        <v>498</v>
      </c>
      <c r="E660" s="53" t="s">
        <v>1111</v>
      </c>
      <c r="F660" s="53" t="s">
        <v>498</v>
      </c>
      <c r="G660" s="53" t="s">
        <v>1235</v>
      </c>
      <c r="H660" s="53" t="s">
        <v>1187</v>
      </c>
      <c r="I660" s="53" t="s">
        <v>1242</v>
      </c>
    </row>
    <row r="661" spans="1:9" x14ac:dyDescent="0.25">
      <c r="B661" s="58" t="s">
        <v>1247</v>
      </c>
      <c r="C661" s="58"/>
      <c r="D661" s="58"/>
      <c r="E661" s="58"/>
      <c r="F661" s="58"/>
    </row>
    <row r="663" spans="1:9" x14ac:dyDescent="0.25">
      <c r="A663" s="4">
        <v>141</v>
      </c>
      <c r="B663" s="4" t="str">
        <f>VLOOKUP(B664,Vocabulary!$A:$B,2,FALSE)</f>
        <v>ɪn</v>
      </c>
      <c r="C663" s="4" t="str">
        <f>VLOOKUP(C664,Vocabulary!$A:$B,2,FALSE)</f>
        <v>pɑɬ</v>
      </c>
      <c r="D663" s="4" t="str">
        <f>VLOOKUP(D664,Vocabulary!$A:$B,2,FALSE)</f>
        <v>ʊʦɨk</v>
      </c>
    </row>
    <row r="664" spans="1:9" x14ac:dyDescent="0.25">
      <c r="B664" s="57" t="s">
        <v>438</v>
      </c>
      <c r="C664" s="57" t="s">
        <v>916</v>
      </c>
      <c r="D664" s="57" t="s">
        <v>458</v>
      </c>
    </row>
    <row r="665" spans="1:9" x14ac:dyDescent="0.25">
      <c r="B665" s="58" t="s">
        <v>1251</v>
      </c>
      <c r="C665" s="58"/>
      <c r="D665" s="58"/>
    </row>
    <row r="667" spans="1:9" x14ac:dyDescent="0.25">
      <c r="A667" s="4">
        <v>142</v>
      </c>
      <c r="B667" s="4" t="str">
        <f>VLOOKUP(B668,Vocabulary!$A:$B,2,FALSE)</f>
        <v>tʰɪr</v>
      </c>
      <c r="C667" s="4" t="str">
        <f>VLOOKUP(C668,Vocabulary!$A:$B,2,FALSE)</f>
        <v>pɑɬ</v>
      </c>
      <c r="D667" s="4" t="str">
        <f>VLOOKUP(D668,Vocabulary!$A:$B,2,FALSE)</f>
        <v>pɑt</v>
      </c>
    </row>
    <row r="668" spans="1:9" x14ac:dyDescent="0.25">
      <c r="B668" s="57" t="s">
        <v>962</v>
      </c>
      <c r="C668" s="57" t="s">
        <v>916</v>
      </c>
      <c r="D668" s="57" t="s">
        <v>536</v>
      </c>
    </row>
    <row r="669" spans="1:9" x14ac:dyDescent="0.25">
      <c r="B669" s="58" t="s">
        <v>1252</v>
      </c>
      <c r="C669" s="58"/>
      <c r="D669" s="58"/>
    </row>
    <row r="671" spans="1:9" x14ac:dyDescent="0.25">
      <c r="A671" s="4">
        <v>143</v>
      </c>
      <c r="B671" s="4" t="str">
        <f>VLOOKUP(B672,Vocabulary!$A:$B,2,FALSE)</f>
        <v>manæ</v>
      </c>
      <c r="C671" s="4" t="str">
        <f>VLOOKUP(C672,Vocabulary!$A:$B,2,FALSE)</f>
        <v>xiʧʰe:ɬ</v>
      </c>
      <c r="D671" s="4" t="str">
        <f>VLOOKUP(D672,Vocabulary!$A:$B,2,FALSE)</f>
        <v>arβan</v>
      </c>
      <c r="E671" s="4" t="str">
        <f>VLOOKUP(E672,Vocabulary!$A:$B,2,FALSE)</f>
        <v>xɑjər</v>
      </c>
      <c r="F671" s="4" t="str">
        <f>VLOOKUP(F672,Vocabulary!$A:$B,2,FALSE)</f>
        <v>ʦʰak</v>
      </c>
      <c r="G671" s="4" t="str">
        <f>VLOOKUP(G672,Vocabulary!$A:$B,2,FALSE)</f>
        <v xml:space="preserve"> -(n)t</v>
      </c>
      <c r="H671" s="4" t="str">
        <f>VLOOKUP(H672,Vocabulary!$A:$B,2,FALSE)</f>
        <v>ɪxɬ(ɪ)</v>
      </c>
      <c r="I671" s="4" t="str">
        <f>VLOOKUP(I672,Vocabulary!$A:$B,2,FALSE)</f>
        <v xml:space="preserve"> -tɨk</v>
      </c>
    </row>
    <row r="672" spans="1:9" x14ac:dyDescent="0.25">
      <c r="B672" s="54" t="s">
        <v>1172</v>
      </c>
      <c r="C672" s="54" t="s">
        <v>1098</v>
      </c>
      <c r="D672" s="54" t="s">
        <v>1253</v>
      </c>
      <c r="E672" s="54" t="s">
        <v>410</v>
      </c>
      <c r="F672" s="54" t="s">
        <v>1257</v>
      </c>
      <c r="G672" s="54" t="s">
        <v>606</v>
      </c>
      <c r="H672" s="54" t="s">
        <v>1101</v>
      </c>
      <c r="I672" s="54" t="s">
        <v>1227</v>
      </c>
    </row>
    <row r="673" spans="1:7" x14ac:dyDescent="0.25">
      <c r="B673" s="58" t="s">
        <v>1259</v>
      </c>
      <c r="C673" s="58"/>
      <c r="D673" s="58"/>
      <c r="E673" s="58"/>
      <c r="F673" s="58"/>
    </row>
    <row r="675" spans="1:7" x14ac:dyDescent="0.25">
      <c r="A675" s="4">
        <v>144</v>
      </c>
      <c r="B675" s="4" t="str">
        <f>VLOOKUP(B676,Vocabulary!$A:$B,2,FALSE)</f>
        <v>minij</v>
      </c>
      <c r="C675" s="4" t="str">
        <f>VLOOKUP(C676,Vocabulary!$A:$B,2,FALSE)</f>
        <v>nɛr</v>
      </c>
      <c r="D675" s="4" t="str">
        <f>VLOOKUP(D676,Vocabulary!$A:$B,2,FALSE)</f>
        <v xml:space="preserve"> -(ɪ)k</v>
      </c>
      <c r="E675" s="4" t="str">
        <f>VLOOKUP(E676,Vocabulary!$A:$B,2,FALSE)</f>
        <v>pɑt</v>
      </c>
      <c r="F675" s="4" t="str">
        <f>VLOOKUP(F676,Vocabulary!$A:$B,2,FALSE)</f>
        <v>k(ɛ)</v>
      </c>
      <c r="G675" s="4" t="str">
        <f>VLOOKUP(G676,Vocabulary!$A:$B,2,FALSE)</f>
        <v xml:space="preserve"> -tɨk</v>
      </c>
    </row>
    <row r="676" spans="1:7" x14ac:dyDescent="0.25">
      <c r="B676" s="54" t="s">
        <v>1111</v>
      </c>
      <c r="C676" s="54" t="s">
        <v>1261</v>
      </c>
      <c r="D676" s="54" t="s">
        <v>535</v>
      </c>
      <c r="E676" s="54" t="s">
        <v>536</v>
      </c>
      <c r="F676" s="54" t="s">
        <v>1266</v>
      </c>
      <c r="G676" s="54" t="s">
        <v>1227</v>
      </c>
    </row>
    <row r="677" spans="1:7" x14ac:dyDescent="0.25">
      <c r="B677" s="58" t="s">
        <v>1269</v>
      </c>
      <c r="C677" s="58"/>
      <c r="D677" s="58"/>
      <c r="E677" s="58"/>
      <c r="F677" s="58"/>
    </row>
    <row r="679" spans="1:7" x14ac:dyDescent="0.25">
      <c r="A679" s="4">
        <v>145</v>
      </c>
      <c r="B679" s="4" t="str">
        <f>VLOOKUP(B680,Vocabulary!$A:$B,2,FALSE)</f>
        <v>namæ</v>
      </c>
      <c r="C679" s="4" t="str">
        <f>VLOOKUP(C680,Vocabulary!$A:$B,2,FALSE)</f>
        <v xml:space="preserve"> -(ɪ)k</v>
      </c>
      <c r="D679" s="4" t="str">
        <f>VLOOKUP(D680,Vocabulary!$A:$B,2,FALSE)</f>
        <v>pɑt</v>
      </c>
      <c r="E679" s="4" t="str">
        <f>VLOOKUP(E680,Vocabulary!$A:$B,2,FALSE)</f>
        <v>k(ɛ)</v>
      </c>
      <c r="F679" s="4" t="str">
        <f>VLOOKUP(F680,Vocabulary!$A:$B,2,FALSE)</f>
        <v xml:space="preserve"> -tɨk</v>
      </c>
    </row>
    <row r="680" spans="1:7" x14ac:dyDescent="0.25">
      <c r="B680" s="54" t="s">
        <v>919</v>
      </c>
      <c r="C680" s="54" t="s">
        <v>535</v>
      </c>
      <c r="D680" s="54" t="s">
        <v>536</v>
      </c>
      <c r="E680" s="54" t="s">
        <v>1266</v>
      </c>
      <c r="F680" s="54" t="s">
        <v>1227</v>
      </c>
    </row>
    <row r="681" spans="1:7" x14ac:dyDescent="0.25">
      <c r="B681" s="58" t="s">
        <v>1270</v>
      </c>
      <c r="C681" s="58"/>
      <c r="D681" s="58"/>
      <c r="E681" s="58"/>
      <c r="F681" s="58"/>
    </row>
    <row r="683" spans="1:7" x14ac:dyDescent="0.25">
      <c r="A683" s="4" t="s">
        <v>1273</v>
      </c>
      <c r="B683" s="4" t="str">
        <f>VLOOKUP(B684,Vocabulary!$A:$B,2,FALSE)</f>
        <v>pɑt</v>
      </c>
      <c r="C683" s="4" t="str">
        <f>VLOOKUP(C684,Vocabulary!$A:$B,2,FALSE)</f>
        <v>k(ɛ)</v>
      </c>
      <c r="D683" s="4" t="str">
        <f>VLOOKUP(D684,Vocabulary!$A:$B,2,FALSE)</f>
        <v xml:space="preserve"> -ʧ</v>
      </c>
      <c r="E683" s="4" t="str">
        <f>VLOOKUP(E684,Vocabulary!$A:$B,2,FALSE)</f>
        <v>xɨŋ</v>
      </c>
      <c r="F683" s="4" t="str">
        <f>VLOOKUP(F684,Vocabulary!$A:$B,2,FALSE)</f>
        <v>pe</v>
      </c>
    </row>
    <row r="684" spans="1:7" x14ac:dyDescent="0.25">
      <c r="B684" s="54" t="s">
        <v>536</v>
      </c>
      <c r="C684" s="54" t="s">
        <v>1266</v>
      </c>
      <c r="D684" s="54" t="s">
        <v>1303</v>
      </c>
      <c r="E684" s="54" t="s">
        <v>1094</v>
      </c>
      <c r="F684" s="54" t="s">
        <v>1062</v>
      </c>
    </row>
    <row r="685" spans="1:7" x14ac:dyDescent="0.25">
      <c r="B685" s="58" t="s">
        <v>1271</v>
      </c>
      <c r="C685" s="58"/>
      <c r="D685" s="58"/>
      <c r="E685" s="58"/>
    </row>
    <row r="687" spans="1:7" x14ac:dyDescent="0.25">
      <c r="A687" s="4" t="s">
        <v>1272</v>
      </c>
      <c r="B687" s="4" t="str">
        <f>VLOOKUP(B688,Vocabulary!$A:$B,2,FALSE)</f>
        <v>pi</v>
      </c>
      <c r="C687" s="4" t="str">
        <f>VLOOKUP(C688,Vocabulary!$A:$B,2,FALSE)</f>
        <v>pæ:</v>
      </c>
      <c r="D687" s="4" t="str">
        <f>VLOOKUP(D688,Vocabulary!$A:$B,2,FALSE)</f>
        <v xml:space="preserve"> -n</v>
      </c>
    </row>
    <row r="688" spans="1:7" x14ac:dyDescent="0.25">
      <c r="B688" s="54" t="s">
        <v>932</v>
      </c>
      <c r="C688" s="54" t="s">
        <v>386</v>
      </c>
      <c r="D688" s="54" t="s">
        <v>1305</v>
      </c>
    </row>
    <row r="689" spans="1:13" x14ac:dyDescent="0.25">
      <c r="B689" s="58" t="s">
        <v>1274</v>
      </c>
      <c r="C689" s="58"/>
      <c r="D689" s="58"/>
    </row>
    <row r="691" spans="1:13" x14ac:dyDescent="0.25">
      <c r="A691" s="4">
        <v>147</v>
      </c>
      <c r="B691" s="4" t="str">
        <f>VLOOKUP(B692,Vocabulary!$A:$B,2,FALSE)</f>
        <v>ɪn</v>
      </c>
      <c r="C691" s="4" t="str">
        <f>VLOOKUP(C692,Vocabulary!$A:$B,2,FALSE)</f>
        <v>pɑɬ</v>
      </c>
      <c r="D691" s="4" t="str">
        <f>VLOOKUP(D692,Vocabulary!$A:$B,2,FALSE)</f>
        <v>minij</v>
      </c>
      <c r="E691" s="4" t="str">
        <f>VLOOKUP(E692,Vocabulary!$A:$B,2,FALSE)</f>
        <v>ʊnɵ:</v>
      </c>
      <c r="F691" s="4" t="str">
        <f>VLOOKUP(F692,Vocabulary!$A:$B,2,FALSE)</f>
        <v>ʊtʊr</v>
      </c>
      <c r="G691" s="4" t="str">
        <f>VLOOKUP(G692,Vocabulary!$A:$B,2,FALSE)</f>
        <v>xotaɬt(a)</v>
      </c>
      <c r="H691" s="4" t="str">
        <f>VLOOKUP(H692,Vocabulary!$A:$B,2,FALSE)</f>
        <v xml:space="preserve"> -ʧ</v>
      </c>
      <c r="I691" s="4" t="str">
        <f>VLOOKUP(I692,Vocabulary!$A:$B,2,FALSE)</f>
        <v>aβ̞(ə)</v>
      </c>
      <c r="J691" s="4" t="str">
        <f>VLOOKUP(J692,Vocabulary!$A:$B,2,FALSE)</f>
        <v xml:space="preserve"> -saŋ</v>
      </c>
      <c r="K691" s="4" t="str">
        <f>VLOOKUP(K692,Vocabulary!$A:$B,2,FALSE)</f>
        <v>nam</v>
      </c>
    </row>
    <row r="692" spans="1:13" x14ac:dyDescent="0.25">
      <c r="B692" s="56" t="s">
        <v>438</v>
      </c>
      <c r="C692" s="56" t="s">
        <v>916</v>
      </c>
      <c r="D692" s="56" t="s">
        <v>1111</v>
      </c>
      <c r="E692" s="56" t="s">
        <v>1275</v>
      </c>
      <c r="F692" s="56" t="s">
        <v>805</v>
      </c>
      <c r="G692" s="56" t="s">
        <v>1277</v>
      </c>
      <c r="H692" s="56" t="s">
        <v>1303</v>
      </c>
      <c r="I692" s="56" t="s">
        <v>622</v>
      </c>
      <c r="J692" s="56" t="s">
        <v>1085</v>
      </c>
      <c r="K692" s="56" t="s">
        <v>439</v>
      </c>
    </row>
    <row r="693" spans="1:13" x14ac:dyDescent="0.25">
      <c r="B693" s="58" t="s">
        <v>1283</v>
      </c>
      <c r="C693" s="58"/>
      <c r="D693" s="58"/>
      <c r="E693" s="58"/>
      <c r="F693" s="58"/>
    </row>
    <row r="695" spans="1:13" x14ac:dyDescent="0.25">
      <c r="A695" s="4">
        <v>148</v>
      </c>
      <c r="B695" s="4" t="str">
        <f>VLOOKUP(B696,Vocabulary!$A:$B,2,FALSE)</f>
        <v>ɪn</v>
      </c>
      <c r="C695" s="4" t="str">
        <f>VLOOKUP(C696,Vocabulary!$A:$B,2,FALSE)</f>
        <v>minij</v>
      </c>
      <c r="D695" s="4" t="str">
        <f>VLOOKUP(D696,Vocabulary!$A:$B,2,FALSE)</f>
        <v>ʊnɵ:</v>
      </c>
      <c r="E695" s="4" t="str">
        <f>VLOOKUP(E696,Vocabulary!$A:$B,2,FALSE)</f>
        <v>ʊtʊr</v>
      </c>
      <c r="F695" s="4" t="str">
        <f>VLOOKUP(F696,Vocabulary!$A:$B,2,FALSE)</f>
        <v>xotaɬt(a)</v>
      </c>
      <c r="G695" s="4" t="str">
        <f>VLOOKUP(G696,Vocabulary!$A:$B,2,FALSE)</f>
        <v xml:space="preserve"> -ʧ</v>
      </c>
      <c r="H695" s="4" t="str">
        <f>VLOOKUP(H696,Vocabulary!$A:$B,2,FALSE)</f>
        <v>aβ̞(ə)</v>
      </c>
      <c r="I695" s="4" t="str">
        <f>VLOOKUP(I696,Vocabulary!$A:$B,2,FALSE)</f>
        <v xml:space="preserve"> -saŋ</v>
      </c>
      <c r="J695" s="4" t="str">
        <f>VLOOKUP(J696,Vocabulary!$A:$B,2,FALSE)</f>
        <v>nam</v>
      </c>
      <c r="K695" s="4" t="str">
        <f>VLOOKUP(K696,Vocabulary!$A:$B,2,FALSE)</f>
        <v>pɪʃ</v>
      </c>
      <c r="L695" s="4" t="str">
        <f>VLOOKUP(L696,Vocabulary!$A:$B,2,FALSE)</f>
        <v>pæ:</v>
      </c>
      <c r="M695" s="4" t="str">
        <f>VLOOKUP(M696,Vocabulary!$A:$B,2,FALSE)</f>
        <v xml:space="preserve"> -n</v>
      </c>
    </row>
    <row r="696" spans="1:13" x14ac:dyDescent="0.25">
      <c r="B696" s="56" t="s">
        <v>438</v>
      </c>
      <c r="C696" s="56" t="s">
        <v>1111</v>
      </c>
      <c r="D696" s="56" t="s">
        <v>1275</v>
      </c>
      <c r="E696" s="56" t="s">
        <v>805</v>
      </c>
      <c r="F696" s="56" t="s">
        <v>1277</v>
      </c>
      <c r="G696" s="56" t="s">
        <v>1303</v>
      </c>
      <c r="H696" s="56" t="s">
        <v>622</v>
      </c>
      <c r="I696" s="56" t="s">
        <v>1085</v>
      </c>
      <c r="J696" s="56" t="s">
        <v>439</v>
      </c>
      <c r="K696" s="56" t="s">
        <v>1242</v>
      </c>
      <c r="L696" s="56" t="s">
        <v>386</v>
      </c>
      <c r="M696" s="56" t="s">
        <v>1305</v>
      </c>
    </row>
    <row r="697" spans="1:13" x14ac:dyDescent="0.25">
      <c r="B697" s="58" t="s">
        <v>1284</v>
      </c>
      <c r="C697" s="58"/>
      <c r="D697" s="58"/>
      <c r="E697" s="58"/>
    </row>
    <row r="699" spans="1:13" x14ac:dyDescent="0.25">
      <c r="A699" s="4">
        <v>149</v>
      </c>
      <c r="B699" s="4" t="str">
        <f>VLOOKUP(B700,Vocabulary!$A:$B,2,FALSE)</f>
        <v>pi</v>
      </c>
      <c r="C699" s="4" t="str">
        <f>VLOOKUP(C700,Vocabulary!$A:$B,2,FALSE)</f>
        <v>ʧʰoɬo:</v>
      </c>
      <c r="D699" s="4" t="str">
        <f>VLOOKUP(D700,Vocabulary!$A:$B,2,FALSE)</f>
        <v>(k)a:r</v>
      </c>
      <c r="E699" s="4" t="str">
        <f>VLOOKUP(E700,Vocabulary!$A:$B,2,FALSE)</f>
        <v>ʦʰãŋx</v>
      </c>
      <c r="F699" s="4" t="str">
        <f>VLOOKUP(F700,Vocabulary!$A:$B,2,FALSE)</f>
        <v>хаkаɬ(а)</v>
      </c>
      <c r="G699" s="4" t="str">
        <f>VLOOKUP(G700,Vocabulary!$A:$B,2,FALSE)</f>
        <v xml:space="preserve"> -ʧax</v>
      </c>
      <c r="H699" s="4" t="str">
        <f>VLOOKUP(H700,Vocabulary!$A:$B,2,FALSE)</f>
        <v xml:space="preserve"> -saŋ</v>
      </c>
    </row>
    <row r="700" spans="1:13" x14ac:dyDescent="0.25">
      <c r="B700" s="56" t="s">
        <v>932</v>
      </c>
      <c r="C700" s="56" t="s">
        <v>1125</v>
      </c>
      <c r="D700" s="56" t="s">
        <v>1287</v>
      </c>
      <c r="E700" s="56" t="s">
        <v>1127</v>
      </c>
      <c r="F700" s="56" t="s">
        <v>847</v>
      </c>
      <c r="G700" s="56" t="s">
        <v>1285</v>
      </c>
      <c r="H700" s="56" t="s">
        <v>1085</v>
      </c>
    </row>
    <row r="701" spans="1:13" x14ac:dyDescent="0.25">
      <c r="B701" s="58" t="s">
        <v>1286</v>
      </c>
      <c r="C701" s="58"/>
      <c r="D701" s="58"/>
      <c r="E701" s="58"/>
    </row>
    <row r="703" spans="1:13" x14ac:dyDescent="0.25">
      <c r="A703" s="4">
        <v>150</v>
      </c>
      <c r="B703" s="4" t="str">
        <f>VLOOKUP(B704,Vocabulary!$A:$B,2,FALSE)</f>
        <v>pi</v>
      </c>
      <c r="C703" s="4" t="str">
        <f>VLOOKUP(C704,Vocabulary!$A:$B,2,FALSE)</f>
        <v>tʰuɬxu:r</v>
      </c>
      <c r="D703" s="4" t="str">
        <f>VLOOKUP(D704,Vocabulary!$A:$B,2,FALSE)</f>
        <v>(k)e:r</v>
      </c>
      <c r="E703" s="4" t="str">
        <f>VLOOKUP(E704,Vocabulary!$A:$B,2,FALSE)</f>
        <v>xa:ɬəq</v>
      </c>
      <c r="F703" s="4" t="str">
        <f>VLOOKUP(F704,Vocabulary!$A:$B,2,FALSE)</f>
        <v>ɑŋkɶɬk(ɑ)</v>
      </c>
      <c r="G703" s="4" t="str">
        <f>VLOOKUP(G704,Vocabulary!$A:$B,2,FALSE)</f>
        <v xml:space="preserve"> -ʧax</v>
      </c>
      <c r="H703" s="4" t="str">
        <f>VLOOKUP(H704,Vocabulary!$A:$B,2,FALSE)</f>
        <v xml:space="preserve"> -saŋ</v>
      </c>
    </row>
    <row r="704" spans="1:13" x14ac:dyDescent="0.25">
      <c r="B704" s="56" t="s">
        <v>932</v>
      </c>
      <c r="C704" s="56" t="s">
        <v>1292</v>
      </c>
      <c r="D704" s="56" t="s">
        <v>1288</v>
      </c>
      <c r="E704" s="56" t="s">
        <v>790</v>
      </c>
      <c r="F704" s="56" t="s">
        <v>840</v>
      </c>
      <c r="G704" s="56" t="s">
        <v>1285</v>
      </c>
      <c r="H704" s="56" t="s">
        <v>1085</v>
      </c>
    </row>
    <row r="705" spans="1:10" x14ac:dyDescent="0.25">
      <c r="B705" s="58" t="s">
        <v>1295</v>
      </c>
      <c r="C705" s="58"/>
      <c r="D705" s="58"/>
      <c r="E705" s="58"/>
    </row>
    <row r="707" spans="1:10" x14ac:dyDescent="0.25">
      <c r="A707" s="4">
        <v>151</v>
      </c>
      <c r="B707" s="4" t="str">
        <f>VLOOKUP(B708,Vocabulary!$A:$B,2,FALSE)</f>
        <v>ɪn</v>
      </c>
      <c r="C707" s="4" t="str">
        <f>VLOOKUP(C708,Vocabulary!$A:$B,2,FALSE)</f>
        <v>pɑɬ</v>
      </c>
      <c r="D707" s="4" t="str">
        <f>VLOOKUP(D708,Vocabulary!$A:$B,2,FALSE)</f>
        <v>tʰuɬxu:r</v>
      </c>
    </row>
    <row r="708" spans="1:10" x14ac:dyDescent="0.25">
      <c r="B708" s="56" t="s">
        <v>438</v>
      </c>
      <c r="C708" s="56" t="s">
        <v>916</v>
      </c>
      <c r="D708" s="56" t="s">
        <v>1292</v>
      </c>
    </row>
    <row r="709" spans="1:10" x14ac:dyDescent="0.25">
      <c r="B709" s="58" t="s">
        <v>1294</v>
      </c>
      <c r="C709" s="58"/>
      <c r="D709" s="55"/>
    </row>
    <row r="711" spans="1:10" x14ac:dyDescent="0.25">
      <c r="A711" s="4">
        <v>152</v>
      </c>
      <c r="B711" s="4" t="str">
        <f>VLOOKUP(B712,Vocabulary!$A:$B,2,FALSE)</f>
        <v>ɪn</v>
      </c>
      <c r="C711" s="4" t="str">
        <f>VLOOKUP(C712,Vocabulary!$A:$B,2,FALSE)</f>
        <v xml:space="preserve"> -t</v>
      </c>
      <c r="D711" s="4" t="str">
        <f>VLOOKUP(D712,Vocabulary!$A:$B,2,FALSE)</f>
        <v>tʰuɬxu:r</v>
      </c>
      <c r="E711" s="4" t="str">
        <f>VLOOKUP(E712,Vocabulary!$A:$B,2,FALSE)</f>
        <v>pæ:</v>
      </c>
      <c r="F711" s="4" t="str">
        <f>VLOOKUP(F712,Vocabulary!$A:$B,2,FALSE)</f>
        <v xml:space="preserve"> -n</v>
      </c>
    </row>
    <row r="712" spans="1:10" x14ac:dyDescent="0.25">
      <c r="B712" s="56" t="s">
        <v>438</v>
      </c>
      <c r="C712" s="56" t="s">
        <v>418</v>
      </c>
      <c r="D712" s="56" t="s">
        <v>1292</v>
      </c>
      <c r="E712" s="56" t="s">
        <v>386</v>
      </c>
      <c r="F712" s="56" t="s">
        <v>1305</v>
      </c>
    </row>
    <row r="713" spans="1:10" x14ac:dyDescent="0.25">
      <c r="B713" s="58" t="s">
        <v>1296</v>
      </c>
      <c r="C713" s="58"/>
      <c r="D713" s="58"/>
      <c r="E713" s="58"/>
    </row>
    <row r="715" spans="1:10" x14ac:dyDescent="0.25">
      <c r="A715" s="4" t="s">
        <v>1297</v>
      </c>
      <c r="B715" s="4" t="str">
        <f>VLOOKUP(B716,Vocabulary!$A:$B,2,FALSE)</f>
        <v>tʰijm</v>
      </c>
      <c r="C715" s="4" t="str">
        <f>VLOOKUP(C716,Vocabulary!$A:$B,2,FALSE)</f>
        <v xml:space="preserve"> -(k)e:</v>
      </c>
      <c r="D715" s="4" t="str">
        <f>VLOOKUP(D716,Vocabulary!$A:$B,2,FALSE)</f>
        <v>ɪn</v>
      </c>
      <c r="E715" s="4" t="str">
        <f>VLOOKUP(E716,Vocabulary!$A:$B,2,FALSE)</f>
        <v xml:space="preserve"> -t</v>
      </c>
      <c r="F715" s="4" t="str">
        <f>VLOOKUP(F716,Vocabulary!$A:$B,2,FALSE)</f>
        <v>tʰuɬxu:r</v>
      </c>
      <c r="G715" s="4" t="str">
        <f>VLOOKUP(G716,Vocabulary!$A:$B,2,FALSE)</f>
        <v>pæ:</v>
      </c>
      <c r="H715" s="4" t="str">
        <f>VLOOKUP(H716,Vocabulary!$A:$B,2,FALSE)</f>
        <v xml:space="preserve"> -tɨk</v>
      </c>
    </row>
    <row r="716" spans="1:10" x14ac:dyDescent="0.25">
      <c r="B716" s="56" t="s">
        <v>1246</v>
      </c>
      <c r="C716" s="56" t="s">
        <v>877</v>
      </c>
      <c r="D716" s="56" t="s">
        <v>438</v>
      </c>
      <c r="E716" s="56" t="s">
        <v>418</v>
      </c>
      <c r="F716" s="56" t="s">
        <v>1292</v>
      </c>
      <c r="G716" s="56" t="s">
        <v>386</v>
      </c>
      <c r="H716" s="56" t="s">
        <v>1227</v>
      </c>
    </row>
    <row r="717" spans="1:10" x14ac:dyDescent="0.25">
      <c r="B717" s="58" t="s">
        <v>1301</v>
      </c>
      <c r="C717" s="58"/>
      <c r="D717" s="13"/>
    </row>
    <row r="719" spans="1:10" x14ac:dyDescent="0.25">
      <c r="A719" s="4" t="s">
        <v>1298</v>
      </c>
      <c r="B719" s="4" t="str">
        <f>VLOOKUP(B720,Vocabulary!$A:$B,2,FALSE)</f>
        <v>tʰijm</v>
      </c>
      <c r="C719" s="4" t="str">
        <f>VLOOKUP(C720,Vocabulary!$A:$B,2,FALSE)</f>
        <v xml:space="preserve"> -(k)e:</v>
      </c>
      <c r="D719" s="4" t="str">
        <f>VLOOKUP(D720,Vocabulary!$A:$B,2,FALSE)</f>
        <v>ɪn</v>
      </c>
      <c r="E719" s="4" t="str">
        <f>VLOOKUP(E720,Vocabulary!$A:$B,2,FALSE)</f>
        <v>xa:ɬəq</v>
      </c>
      <c r="F719" s="4" t="s">
        <v>1299</v>
      </c>
      <c r="G719" s="4" t="str">
        <f>VLOOKUP(G720,Vocabulary!$A:$B,2,FALSE)</f>
        <v xml:space="preserve"> -t</v>
      </c>
      <c r="H719" s="4" t="str">
        <f>VLOOKUP(H720,Vocabulary!$A:$B,2,FALSE)</f>
        <v>tʰuɬxu:r</v>
      </c>
      <c r="I719" s="4" t="str">
        <f>VLOOKUP(I720,Vocabulary!$A:$B,2,FALSE)</f>
        <v>pæ:</v>
      </c>
      <c r="J719" s="4" t="str">
        <f>VLOOKUP(J720,Vocabulary!$A:$B,2,FALSE)</f>
        <v xml:space="preserve"> -tɨk</v>
      </c>
    </row>
    <row r="720" spans="1:10" x14ac:dyDescent="0.25">
      <c r="B720" s="56" t="s">
        <v>1246</v>
      </c>
      <c r="C720" s="56" t="s">
        <v>877</v>
      </c>
      <c r="D720" s="56" t="s">
        <v>438</v>
      </c>
      <c r="E720" s="56" t="s">
        <v>790</v>
      </c>
      <c r="F720" s="56"/>
      <c r="G720" s="56" t="s">
        <v>418</v>
      </c>
      <c r="H720" s="56" t="s">
        <v>1292</v>
      </c>
      <c r="I720" s="56" t="s">
        <v>386</v>
      </c>
      <c r="J720" s="56" t="s">
        <v>1227</v>
      </c>
    </row>
    <row r="721" spans="2:5" x14ac:dyDescent="0.25">
      <c r="B721" s="55" t="s">
        <v>1300</v>
      </c>
      <c r="C721" s="55"/>
      <c r="D721" s="55"/>
      <c r="E721" s="55"/>
    </row>
  </sheetData>
  <dataConsolidate/>
  <mergeCells count="200">
    <mergeCell ref="B693:F693"/>
    <mergeCell ref="B697:E697"/>
    <mergeCell ref="B701:E701"/>
    <mergeCell ref="B709:C709"/>
    <mergeCell ref="B705:E705"/>
    <mergeCell ref="B713:E713"/>
    <mergeCell ref="B717:C717"/>
    <mergeCell ref="B669:D669"/>
    <mergeCell ref="B673:F673"/>
    <mergeCell ref="B677:F677"/>
    <mergeCell ref="B681:F681"/>
    <mergeCell ref="B685:E685"/>
    <mergeCell ref="B689:D689"/>
    <mergeCell ref="B612:E612"/>
    <mergeCell ref="B616:E616"/>
    <mergeCell ref="B620:D620"/>
    <mergeCell ref="E620:G620"/>
    <mergeCell ref="B624:O624"/>
    <mergeCell ref="B653:D653"/>
    <mergeCell ref="B657:G657"/>
    <mergeCell ref="B661:F661"/>
    <mergeCell ref="B665:D665"/>
    <mergeCell ref="B638:G638"/>
    <mergeCell ref="B641:F641"/>
    <mergeCell ref="B645:F645"/>
    <mergeCell ref="B649:D649"/>
    <mergeCell ref="B628:E628"/>
    <mergeCell ref="B632:E632"/>
    <mergeCell ref="B282:D282"/>
    <mergeCell ref="B286:E286"/>
    <mergeCell ref="B290:C290"/>
    <mergeCell ref="B336:E336"/>
    <mergeCell ref="B344:C344"/>
    <mergeCell ref="B348:F348"/>
    <mergeCell ref="B340:F340"/>
    <mergeCell ref="B530:E530"/>
    <mergeCell ref="B534:E534"/>
    <mergeCell ref="B502:E502"/>
    <mergeCell ref="B506:E506"/>
    <mergeCell ref="B510:E510"/>
    <mergeCell ref="B514:D514"/>
    <mergeCell ref="B518:E518"/>
    <mergeCell ref="B522:E522"/>
    <mergeCell ref="B398:H398"/>
    <mergeCell ref="B401:D401"/>
    <mergeCell ref="B405:F405"/>
    <mergeCell ref="B409:E409"/>
    <mergeCell ref="B413:E413"/>
    <mergeCell ref="B417:D417"/>
    <mergeCell ref="B421:F421"/>
    <mergeCell ref="B425:H425"/>
    <mergeCell ref="B384:C384"/>
    <mergeCell ref="B117:G117"/>
    <mergeCell ref="B116:D116"/>
    <mergeCell ref="E116:F116"/>
    <mergeCell ref="B112:E112"/>
    <mergeCell ref="F112:G112"/>
    <mergeCell ref="B217:F217"/>
    <mergeCell ref="B221:D221"/>
    <mergeCell ref="B229:C229"/>
    <mergeCell ref="B230:F230"/>
    <mergeCell ref="B135:D135"/>
    <mergeCell ref="B139:C139"/>
    <mergeCell ref="B119:I119"/>
    <mergeCell ref="B123:F123"/>
    <mergeCell ref="B131:D131"/>
    <mergeCell ref="E131:F131"/>
    <mergeCell ref="B127:C127"/>
    <mergeCell ref="B187:F187"/>
    <mergeCell ref="B191:E191"/>
    <mergeCell ref="B195:E195"/>
    <mergeCell ref="B151:D151"/>
    <mergeCell ref="B143:D143"/>
    <mergeCell ref="B147:D147"/>
    <mergeCell ref="B155:D155"/>
    <mergeCell ref="B159:D159"/>
    <mergeCell ref="B80:E80"/>
    <mergeCell ref="B12:F12"/>
    <mergeCell ref="B24:G24"/>
    <mergeCell ref="B104:E104"/>
    <mergeCell ref="G104:I104"/>
    <mergeCell ref="G116:I116"/>
    <mergeCell ref="B100:E100"/>
    <mergeCell ref="F100:H100"/>
    <mergeCell ref="B108:E108"/>
    <mergeCell ref="B32:G32"/>
    <mergeCell ref="I20:M20"/>
    <mergeCell ref="B28:F28"/>
    <mergeCell ref="B88:E88"/>
    <mergeCell ref="I24:N24"/>
    <mergeCell ref="B96:G96"/>
    <mergeCell ref="B92:D92"/>
    <mergeCell ref="B64:D64"/>
    <mergeCell ref="B68:D68"/>
    <mergeCell ref="B72:F72"/>
    <mergeCell ref="B76:F76"/>
    <mergeCell ref="B84:H84"/>
    <mergeCell ref="B1:I1"/>
    <mergeCell ref="B53:J53"/>
    <mergeCell ref="B56:F56"/>
    <mergeCell ref="B60:F60"/>
    <mergeCell ref="B4:F4"/>
    <mergeCell ref="B20:F20"/>
    <mergeCell ref="B36:I36"/>
    <mergeCell ref="B40:I40"/>
    <mergeCell ref="B45:J45"/>
    <mergeCell ref="B8:E8"/>
    <mergeCell ref="B16:E16"/>
    <mergeCell ref="B171:E171"/>
    <mergeCell ref="B175:E175"/>
    <mergeCell ref="B179:E179"/>
    <mergeCell ref="B183:D183"/>
    <mergeCell ref="B163:C163"/>
    <mergeCell ref="D163:I163"/>
    <mergeCell ref="B203:D203"/>
    <mergeCell ref="B199:D199"/>
    <mergeCell ref="B332:I332"/>
    <mergeCell ref="B316:E316"/>
    <mergeCell ref="B312:H312"/>
    <mergeCell ref="B320:E320"/>
    <mergeCell ref="B328:I328"/>
    <mergeCell ref="B256:D256"/>
    <mergeCell ref="B257:H257"/>
    <mergeCell ref="B261:C261"/>
    <mergeCell ref="E261:I261"/>
    <mergeCell ref="B213:H213"/>
    <mergeCell ref="B225:G225"/>
    <mergeCell ref="B243:D243"/>
    <mergeCell ref="B207:D207"/>
    <mergeCell ref="B211:D211"/>
    <mergeCell ref="B247:E247"/>
    <mergeCell ref="B248:F248"/>
    <mergeCell ref="B252:F252"/>
    <mergeCell ref="B238:E238"/>
    <mergeCell ref="B239:C239"/>
    <mergeCell ref="B368:D368"/>
    <mergeCell ref="B372:D372"/>
    <mergeCell ref="E372:H372"/>
    <mergeCell ref="B376:E376"/>
    <mergeCell ref="B380:D380"/>
    <mergeCell ref="B352:D352"/>
    <mergeCell ref="B356:D356"/>
    <mergeCell ref="B360:D360"/>
    <mergeCell ref="B364:C364"/>
    <mergeCell ref="D364:I364"/>
    <mergeCell ref="B270:F270"/>
    <mergeCell ref="B274:E274"/>
    <mergeCell ref="B262:H262"/>
    <mergeCell ref="B266:C266"/>
    <mergeCell ref="E266:G266"/>
    <mergeCell ref="B294:C294"/>
    <mergeCell ref="B298:C298"/>
    <mergeCell ref="B302:D302"/>
    <mergeCell ref="B306:C306"/>
    <mergeCell ref="B310:D310"/>
    <mergeCell ref="B278:D278"/>
    <mergeCell ref="B388:E388"/>
    <mergeCell ref="B392:E392"/>
    <mergeCell ref="B396:E396"/>
    <mergeCell ref="B429:E429"/>
    <mergeCell ref="B433:F433"/>
    <mergeCell ref="B437:F437"/>
    <mergeCell ref="B441:D441"/>
    <mergeCell ref="B445:D445"/>
    <mergeCell ref="B449:D449"/>
    <mergeCell ref="B453:E453"/>
    <mergeCell ref="B457:E457"/>
    <mergeCell ref="B461:D461"/>
    <mergeCell ref="B636:E636"/>
    <mergeCell ref="B600:D600"/>
    <mergeCell ref="B604:E604"/>
    <mergeCell ref="B608:E608"/>
    <mergeCell ref="B478:E478"/>
    <mergeCell ref="B471:H471"/>
    <mergeCell ref="B474:G474"/>
    <mergeCell ref="B465:G465"/>
    <mergeCell ref="B469:H469"/>
    <mergeCell ref="B482:F482"/>
    <mergeCell ref="F486:N486"/>
    <mergeCell ref="B486:D486"/>
    <mergeCell ref="B490:E490"/>
    <mergeCell ref="B494:D494"/>
    <mergeCell ref="B498:D498"/>
    <mergeCell ref="B538:E538"/>
    <mergeCell ref="B542:D542"/>
    <mergeCell ref="B546:D546"/>
    <mergeCell ref="B548:F548"/>
    <mergeCell ref="B588:D588"/>
    <mergeCell ref="B592:E592"/>
    <mergeCell ref="F592:I592"/>
    <mergeCell ref="B596:E596"/>
    <mergeCell ref="B552:E552"/>
    <mergeCell ref="B556:E556"/>
    <mergeCell ref="B560:E560"/>
    <mergeCell ref="B564:F564"/>
    <mergeCell ref="B568:F568"/>
    <mergeCell ref="B572:E572"/>
    <mergeCell ref="B576:F576"/>
    <mergeCell ref="B580:E580"/>
    <mergeCell ref="B584:E584"/>
  </mergeCells>
  <dataValidations count="24">
    <dataValidation type="list" allowBlank="1" showInputMessage="1" showErrorMessage="1" sqref="E7">
      <formula1>"behind (1), behind (2)"</formula1>
    </dataValidation>
    <dataValidation type="list" allowBlank="1" showInputMessage="1" showErrorMessage="1" sqref="D39">
      <formula1>"front, rear, side"</formula1>
    </dataValidation>
    <dataValidation type="list" allowBlank="1" showInputMessage="1" showErrorMessage="1" sqref="C79">
      <formula1>"left, right"</formula1>
    </dataValidation>
    <dataValidation type="list" allowBlank="1" showInputMessage="1" showErrorMessage="1" sqref="F122">
      <formula1>"TERM, PST PERF B"</formula1>
    </dataValidation>
    <dataValidation type="list" allowBlank="1" showInputMessage="1" showErrorMessage="1" sqref="E134">
      <formula1>"take outside, slander"</formula1>
    </dataValidation>
    <dataValidation type="list" allowBlank="1" showInputMessage="1" showErrorMessage="1" sqref="F194">
      <formula1>"R PST, NR PST B"</formula1>
    </dataValidation>
    <dataValidation type="list" allowBlank="1" showInputMessage="1" showErrorMessage="1" sqref="G255 I387">
      <formula1>"R PST, NR PST F"</formula1>
    </dataValidation>
    <dataValidation type="list" allowBlank="1" showInputMessage="1" showErrorMessage="1" sqref="B260">
      <formula1>"here, away"</formula1>
    </dataValidation>
    <dataValidation type="list" allowBlank="1" showInputMessage="1" showErrorMessage="1" sqref="C301">
      <formula1>"titske, zoloo"</formula1>
    </dataValidation>
    <dataValidation type="list" allowBlank="1" showInputMessage="1" showErrorMessage="1" sqref="C305">
      <formula1>"feel.cold, feel.hot"</formula1>
    </dataValidation>
    <dataValidation type="list" allowBlank="1" showInputMessage="1" showErrorMessage="1" sqref="B319">
      <formula1>"2sg (pol.), 2sg (fam.)"</formula1>
    </dataValidation>
    <dataValidation type="list" allowBlank="1" showInputMessage="1" showErrorMessage="1" sqref="E359">
      <formula1>"R PST, D PST F"</formula1>
    </dataValidation>
    <dataValidation type="list" allowBlank="1" showInputMessage="1" showErrorMessage="1" sqref="B359">
      <formula1>"2sg (fam.), 2sg (pol.)"</formula1>
    </dataValidation>
    <dataValidation type="list" allowBlank="1" showInputMessage="1" showErrorMessage="1" sqref="E379">
      <formula1>"NPST, NR PST F"</formula1>
    </dataValidation>
    <dataValidation type="list" allowBlank="1" showInputMessage="1" showErrorMessage="1" sqref="F412 F416">
      <formula1>"is, live"</formula1>
    </dataValidation>
    <dataValidation type="list" allowBlank="1" showInputMessage="1" showErrorMessage="1" sqref="C456">
      <formula1>"skirt 1, skirt 2"</formula1>
    </dataValidation>
    <dataValidation type="list" allowBlank="1" showInputMessage="1" showErrorMessage="1" sqref="G464">
      <formula1>"NPST, R PST"</formula1>
    </dataValidation>
    <dataValidation type="list" allowBlank="1" showInputMessage="1" showErrorMessage="1" sqref="E11">
      <formula1>"behind, front"</formula1>
    </dataValidation>
    <dataValidation type="list" allowBlank="1" showInputMessage="1" showErrorMessage="1" sqref="F477">
      <formula1>"IPFV, HAB F"</formula1>
    </dataValidation>
    <dataValidation type="list" allowBlank="1" showInputMessage="1" showErrorMessage="1" sqref="E501">
      <formula1>"NPST, HAB, NR PST f"</formula1>
    </dataValidation>
    <dataValidation type="list" allowBlank="1" showInputMessage="1" showErrorMessage="1" sqref="F509">
      <formula1>"HAB F, IPFV"</formula1>
    </dataValidation>
    <dataValidation type="list" allowBlank="1" showInputMessage="1" showErrorMessage="1" sqref="B513">
      <formula1>"this, 3sg"</formula1>
    </dataValidation>
    <dataValidation type="list" allowBlank="1" showInputMessage="1" showErrorMessage="1" sqref="F567">
      <formula1>"to, to r"</formula1>
    </dataValidation>
    <dataValidation type="list" allowBlank="1" showInputMessage="1" showErrorMessage="1" sqref="D579 D583">
      <formula1>"LOC, to"</formula1>
    </dataValidation>
  </dataValidations>
  <pageMargins left="0.7" right="0.7" top="0.75" bottom="0.75" header="0.3" footer="0.3"/>
  <pageSetup orientation="portrait" r:id="rId1"/>
  <ignoredErrors>
    <ignoredError sqref="N18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53"/>
  <sheetViews>
    <sheetView zoomScale="85" zoomScaleNormal="85" workbookViewId="0">
      <pane ySplit="1" topLeftCell="A333" activePane="bottomLeft" state="frozen"/>
      <selection pane="bottomLeft" activeCell="A356" sqref="A356"/>
    </sheetView>
  </sheetViews>
  <sheetFormatPr defaultRowHeight="15" x14ac:dyDescent="0.25"/>
  <cols>
    <col min="1" max="1" width="19" customWidth="1"/>
    <col min="2" max="2" width="12.42578125" customWidth="1"/>
    <col min="3" max="4" width="9.28515625" customWidth="1"/>
    <col min="5" max="5" width="6.85546875" style="17" customWidth="1"/>
    <col min="6" max="6" width="140.7109375" customWidth="1"/>
    <col min="7" max="7" width="61.85546875" customWidth="1"/>
  </cols>
  <sheetData>
    <row r="1" spans="1:7" x14ac:dyDescent="0.25">
      <c r="A1" s="45" t="s">
        <v>926</v>
      </c>
      <c r="B1" s="45" t="s">
        <v>927</v>
      </c>
      <c r="C1" s="45" t="s">
        <v>933</v>
      </c>
      <c r="D1" s="45" t="s">
        <v>976</v>
      </c>
      <c r="E1" s="45" t="s">
        <v>957</v>
      </c>
      <c r="F1" s="45" t="s">
        <v>928</v>
      </c>
      <c r="G1" t="s">
        <v>929</v>
      </c>
    </row>
    <row r="2" spans="1:7" x14ac:dyDescent="0.25">
      <c r="A2" s="1" t="s">
        <v>308</v>
      </c>
      <c r="B2" t="s">
        <v>309</v>
      </c>
      <c r="C2" t="s">
        <v>1042</v>
      </c>
      <c r="D2" t="s">
        <v>973</v>
      </c>
      <c r="E2" s="17" t="str">
        <f>IF(G2="","",HYPERLINK(G2,"Link"))</f>
        <v/>
      </c>
    </row>
    <row r="3" spans="1:7" x14ac:dyDescent="0.25">
      <c r="A3" s="1" t="s">
        <v>51</v>
      </c>
      <c r="B3" t="s">
        <v>52</v>
      </c>
      <c r="C3" t="s">
        <v>1042</v>
      </c>
      <c r="D3" t="s">
        <v>973</v>
      </c>
      <c r="E3" s="17" t="str">
        <f t="shared" ref="E3:E62" si="0">IF(G3="","",HYPERLINK(G3,"Link"))</f>
        <v/>
      </c>
    </row>
    <row r="4" spans="1:7" x14ac:dyDescent="0.25">
      <c r="A4" s="1" t="s">
        <v>334</v>
      </c>
      <c r="B4" t="s">
        <v>540</v>
      </c>
      <c r="C4" t="s">
        <v>1042</v>
      </c>
      <c r="D4" t="s">
        <v>971</v>
      </c>
      <c r="E4" s="17" t="str">
        <f t="shared" si="0"/>
        <v/>
      </c>
    </row>
    <row r="5" spans="1:7" x14ac:dyDescent="0.25">
      <c r="A5" s="1" t="s">
        <v>109</v>
      </c>
      <c r="B5" t="s">
        <v>110</v>
      </c>
      <c r="C5" t="s">
        <v>1042</v>
      </c>
      <c r="D5" t="s">
        <v>973</v>
      </c>
      <c r="E5" s="17" t="str">
        <f t="shared" si="0"/>
        <v/>
      </c>
    </row>
    <row r="6" spans="1:7" x14ac:dyDescent="0.25">
      <c r="A6" s="1" t="s">
        <v>480</v>
      </c>
      <c r="B6" s="1" t="s">
        <v>24</v>
      </c>
      <c r="C6" t="s">
        <v>1042</v>
      </c>
      <c r="D6" t="s">
        <v>972</v>
      </c>
      <c r="E6" s="17" t="str">
        <f t="shared" si="0"/>
        <v/>
      </c>
    </row>
    <row r="7" spans="1:7" x14ac:dyDescent="0.25">
      <c r="A7" s="1" t="s">
        <v>479</v>
      </c>
      <c r="B7" t="s">
        <v>476</v>
      </c>
      <c r="C7" t="s">
        <v>1042</v>
      </c>
      <c r="D7" t="s">
        <v>972</v>
      </c>
      <c r="E7" s="17" t="str">
        <f t="shared" si="0"/>
        <v/>
      </c>
      <c r="F7" t="s">
        <v>481</v>
      </c>
    </row>
    <row r="8" spans="1:7" x14ac:dyDescent="0.25">
      <c r="A8" s="1" t="s">
        <v>95</v>
      </c>
      <c r="B8" s="1" t="s">
        <v>96</v>
      </c>
      <c r="C8" t="s">
        <v>1042</v>
      </c>
      <c r="D8" t="s">
        <v>973</v>
      </c>
      <c r="E8" s="17" t="str">
        <f t="shared" si="0"/>
        <v/>
      </c>
    </row>
    <row r="9" spans="1:7" x14ac:dyDescent="0.25">
      <c r="A9" s="1" t="s">
        <v>223</v>
      </c>
      <c r="B9" t="s">
        <v>541</v>
      </c>
      <c r="C9" t="s">
        <v>1042</v>
      </c>
      <c r="D9" t="s">
        <v>971</v>
      </c>
      <c r="E9" s="17" t="str">
        <f t="shared" si="0"/>
        <v/>
      </c>
    </row>
    <row r="10" spans="1:7" x14ac:dyDescent="0.25">
      <c r="A10" s="1" t="s">
        <v>174</v>
      </c>
      <c r="B10" t="s">
        <v>974</v>
      </c>
      <c r="C10" t="s">
        <v>1042</v>
      </c>
      <c r="D10" t="s">
        <v>971</v>
      </c>
      <c r="E10" s="17" t="str">
        <f t="shared" si="0"/>
        <v/>
      </c>
    </row>
    <row r="11" spans="1:7" x14ac:dyDescent="0.25">
      <c r="A11" s="1" t="s">
        <v>209</v>
      </c>
      <c r="B11" t="s">
        <v>210</v>
      </c>
      <c r="C11" t="s">
        <v>1042</v>
      </c>
      <c r="D11" t="s">
        <v>973</v>
      </c>
      <c r="E11" s="17" t="str">
        <f t="shared" si="0"/>
        <v/>
      </c>
    </row>
    <row r="12" spans="1:7" x14ac:dyDescent="0.25">
      <c r="A12" s="1" t="s">
        <v>266</v>
      </c>
      <c r="B12" t="s">
        <v>267</v>
      </c>
      <c r="C12" t="s">
        <v>1042</v>
      </c>
      <c r="D12" t="s">
        <v>973</v>
      </c>
      <c r="E12" s="17" t="str">
        <f t="shared" si="0"/>
        <v/>
      </c>
    </row>
    <row r="13" spans="1:7" x14ac:dyDescent="0.25">
      <c r="A13" s="1" t="s">
        <v>185</v>
      </c>
      <c r="B13" t="s">
        <v>186</v>
      </c>
      <c r="C13" t="s">
        <v>1042</v>
      </c>
      <c r="D13" t="s">
        <v>973</v>
      </c>
      <c r="E13" s="17" t="str">
        <f t="shared" si="0"/>
        <v/>
      </c>
    </row>
    <row r="14" spans="1:7" x14ac:dyDescent="0.25">
      <c r="A14" s="1" t="s">
        <v>325</v>
      </c>
      <c r="B14" t="s">
        <v>542</v>
      </c>
      <c r="C14" t="s">
        <v>1042</v>
      </c>
      <c r="D14" t="s">
        <v>971</v>
      </c>
      <c r="E14" s="17" t="str">
        <f t="shared" si="0"/>
        <v/>
      </c>
    </row>
    <row r="15" spans="1:7" x14ac:dyDescent="0.25">
      <c r="A15" s="1" t="s">
        <v>317</v>
      </c>
      <c r="B15" s="1" t="s">
        <v>318</v>
      </c>
      <c r="C15" t="s">
        <v>1042</v>
      </c>
      <c r="D15" t="s">
        <v>973</v>
      </c>
      <c r="E15" s="17" t="str">
        <f t="shared" si="0"/>
        <v/>
      </c>
    </row>
    <row r="16" spans="1:7" x14ac:dyDescent="0.25">
      <c r="A16" s="1" t="s">
        <v>258</v>
      </c>
      <c r="B16" s="1" t="s">
        <v>259</v>
      </c>
      <c r="C16" t="s">
        <v>1042</v>
      </c>
      <c r="D16" t="s">
        <v>973</v>
      </c>
      <c r="E16" s="17" t="str">
        <f t="shared" si="0"/>
        <v/>
      </c>
    </row>
    <row r="17" spans="1:5" x14ac:dyDescent="0.25">
      <c r="A17" s="1" t="s">
        <v>279</v>
      </c>
      <c r="B17" t="s">
        <v>975</v>
      </c>
      <c r="C17" t="s">
        <v>1042</v>
      </c>
      <c r="D17" t="s">
        <v>971</v>
      </c>
      <c r="E17" s="17" t="str">
        <f t="shared" si="0"/>
        <v/>
      </c>
    </row>
    <row r="18" spans="1:5" x14ac:dyDescent="0.25">
      <c r="A18" s="1" t="s">
        <v>157</v>
      </c>
      <c r="B18" s="1" t="s">
        <v>158</v>
      </c>
      <c r="C18" t="s">
        <v>1042</v>
      </c>
      <c r="D18" t="s">
        <v>973</v>
      </c>
      <c r="E18" s="17" t="str">
        <f t="shared" si="0"/>
        <v/>
      </c>
    </row>
    <row r="19" spans="1:5" x14ac:dyDescent="0.25">
      <c r="A19" s="1" t="s">
        <v>83</v>
      </c>
      <c r="B19" t="s">
        <v>84</v>
      </c>
      <c r="C19" t="s">
        <v>1042</v>
      </c>
      <c r="D19" t="s">
        <v>973</v>
      </c>
      <c r="E19" s="17" t="str">
        <f t="shared" si="0"/>
        <v/>
      </c>
    </row>
    <row r="20" spans="1:5" x14ac:dyDescent="0.25">
      <c r="A20" s="1" t="s">
        <v>294</v>
      </c>
      <c r="B20" s="1" t="s">
        <v>295</v>
      </c>
      <c r="C20" t="s">
        <v>1042</v>
      </c>
      <c r="D20" t="s">
        <v>973</v>
      </c>
      <c r="E20" s="17" t="str">
        <f t="shared" si="0"/>
        <v/>
      </c>
    </row>
    <row r="21" spans="1:5" x14ac:dyDescent="0.25">
      <c r="A21" s="1" t="s">
        <v>153</v>
      </c>
      <c r="B21" t="s">
        <v>154</v>
      </c>
      <c r="C21" t="s">
        <v>1042</v>
      </c>
      <c r="D21" t="s">
        <v>973</v>
      </c>
      <c r="E21" s="17" t="str">
        <f t="shared" si="0"/>
        <v/>
      </c>
    </row>
    <row r="22" spans="1:5" x14ac:dyDescent="0.25">
      <c r="A22" s="1" t="s">
        <v>995</v>
      </c>
      <c r="B22" t="s">
        <v>977</v>
      </c>
      <c r="C22" t="s">
        <v>1042</v>
      </c>
      <c r="D22" t="s">
        <v>971</v>
      </c>
      <c r="E22" s="17" t="str">
        <f t="shared" si="0"/>
        <v/>
      </c>
    </row>
    <row r="23" spans="1:5" x14ac:dyDescent="0.25">
      <c r="A23" s="1" t="s">
        <v>996</v>
      </c>
      <c r="B23" s="1" t="s">
        <v>978</v>
      </c>
      <c r="C23" t="s">
        <v>1042</v>
      </c>
      <c r="D23" t="s">
        <v>971</v>
      </c>
      <c r="E23" s="17" t="str">
        <f t="shared" si="0"/>
        <v/>
      </c>
    </row>
    <row r="24" spans="1:5" x14ac:dyDescent="0.25">
      <c r="A24" s="1" t="s">
        <v>247</v>
      </c>
      <c r="B24" t="s">
        <v>248</v>
      </c>
      <c r="C24" t="s">
        <v>1042</v>
      </c>
      <c r="D24" t="s">
        <v>973</v>
      </c>
      <c r="E24" s="17" t="str">
        <f t="shared" si="0"/>
        <v/>
      </c>
    </row>
    <row r="25" spans="1:5" x14ac:dyDescent="0.25">
      <c r="A25" s="1" t="s">
        <v>187</v>
      </c>
      <c r="B25" t="s">
        <v>188</v>
      </c>
      <c r="C25" t="s">
        <v>1042</v>
      </c>
      <c r="D25" t="s">
        <v>973</v>
      </c>
      <c r="E25" s="17" t="str">
        <f t="shared" si="0"/>
        <v/>
      </c>
    </row>
    <row r="26" spans="1:5" x14ac:dyDescent="0.25">
      <c r="A26" s="1" t="s">
        <v>41</v>
      </c>
      <c r="B26" t="s">
        <v>352</v>
      </c>
      <c r="C26" t="s">
        <v>1042</v>
      </c>
      <c r="D26" t="s">
        <v>973</v>
      </c>
      <c r="E26" s="17" t="str">
        <f t="shared" si="0"/>
        <v/>
      </c>
    </row>
    <row r="27" spans="1:5" x14ac:dyDescent="0.25">
      <c r="A27" s="1" t="s">
        <v>260</v>
      </c>
      <c r="B27" s="1" t="s">
        <v>261</v>
      </c>
      <c r="C27" t="s">
        <v>1042</v>
      </c>
      <c r="D27" t="s">
        <v>973</v>
      </c>
      <c r="E27" s="17" t="str">
        <f t="shared" si="0"/>
        <v/>
      </c>
    </row>
    <row r="28" spans="1:5" x14ac:dyDescent="0.25">
      <c r="A28" s="1" t="s">
        <v>214</v>
      </c>
      <c r="B28" t="s">
        <v>215</v>
      </c>
      <c r="C28" t="s">
        <v>1042</v>
      </c>
      <c r="D28" t="s">
        <v>973</v>
      </c>
      <c r="E28" s="17" t="str">
        <f t="shared" si="0"/>
        <v/>
      </c>
    </row>
    <row r="29" spans="1:5" x14ac:dyDescent="0.25">
      <c r="A29" s="1" t="s">
        <v>164</v>
      </c>
      <c r="B29" t="s">
        <v>355</v>
      </c>
      <c r="C29" t="s">
        <v>1042</v>
      </c>
      <c r="D29" t="s">
        <v>973</v>
      </c>
      <c r="E29" s="17" t="str">
        <f t="shared" si="0"/>
        <v/>
      </c>
    </row>
    <row r="30" spans="1:5" x14ac:dyDescent="0.25">
      <c r="A30" s="1" t="s">
        <v>323</v>
      </c>
      <c r="B30" t="s">
        <v>324</v>
      </c>
      <c r="C30" t="s">
        <v>1042</v>
      </c>
      <c r="D30" t="s">
        <v>973</v>
      </c>
      <c r="E30" s="17" t="str">
        <f t="shared" si="0"/>
        <v/>
      </c>
    </row>
    <row r="31" spans="1:5" x14ac:dyDescent="0.25">
      <c r="A31" s="1" t="s">
        <v>997</v>
      </c>
      <c r="B31" t="s">
        <v>979</v>
      </c>
      <c r="C31" t="s">
        <v>1042</v>
      </c>
      <c r="D31" t="s">
        <v>971</v>
      </c>
      <c r="E31" s="17" t="str">
        <f t="shared" si="0"/>
        <v/>
      </c>
    </row>
    <row r="32" spans="1:5" x14ac:dyDescent="0.25">
      <c r="A32" s="1" t="s">
        <v>274</v>
      </c>
      <c r="B32" t="s">
        <v>275</v>
      </c>
      <c r="C32" t="s">
        <v>1042</v>
      </c>
      <c r="D32" t="s">
        <v>973</v>
      </c>
      <c r="E32" s="17" t="str">
        <f t="shared" si="0"/>
        <v/>
      </c>
    </row>
    <row r="33" spans="1:5" x14ac:dyDescent="0.25">
      <c r="A33" s="1" t="s">
        <v>155</v>
      </c>
      <c r="B33" t="s">
        <v>356</v>
      </c>
      <c r="C33" t="s">
        <v>1042</v>
      </c>
      <c r="D33" t="s">
        <v>973</v>
      </c>
      <c r="E33" s="17" t="str">
        <f t="shared" si="0"/>
        <v/>
      </c>
    </row>
    <row r="34" spans="1:5" x14ac:dyDescent="0.25">
      <c r="A34" s="1" t="s">
        <v>70</v>
      </c>
      <c r="B34" t="s">
        <v>980</v>
      </c>
      <c r="C34" t="s">
        <v>1042</v>
      </c>
      <c r="D34" t="s">
        <v>971</v>
      </c>
      <c r="E34" s="17" t="str">
        <f t="shared" si="0"/>
        <v/>
      </c>
    </row>
    <row r="35" spans="1:5" x14ac:dyDescent="0.25">
      <c r="A35" s="1" t="s">
        <v>270</v>
      </c>
      <c r="B35" t="s">
        <v>271</v>
      </c>
      <c r="C35" t="s">
        <v>1042</v>
      </c>
      <c r="D35" t="s">
        <v>973</v>
      </c>
      <c r="E35" s="17" t="str">
        <f t="shared" si="0"/>
        <v/>
      </c>
    </row>
    <row r="36" spans="1:5" x14ac:dyDescent="0.25">
      <c r="A36" s="1" t="s">
        <v>204</v>
      </c>
      <c r="B36" t="s">
        <v>981</v>
      </c>
      <c r="C36" t="s">
        <v>1042</v>
      </c>
      <c r="D36" t="s">
        <v>971</v>
      </c>
      <c r="E36" s="17" t="str">
        <f t="shared" si="0"/>
        <v/>
      </c>
    </row>
    <row r="37" spans="1:5" x14ac:dyDescent="0.25">
      <c r="A37" s="1" t="s">
        <v>283</v>
      </c>
      <c r="B37" t="s">
        <v>284</v>
      </c>
      <c r="C37" t="s">
        <v>1042</v>
      </c>
      <c r="D37" t="s">
        <v>973</v>
      </c>
      <c r="E37" s="17" t="str">
        <f t="shared" si="0"/>
        <v/>
      </c>
    </row>
    <row r="38" spans="1:5" x14ac:dyDescent="0.25">
      <c r="A38" s="1" t="s">
        <v>127</v>
      </c>
      <c r="B38" t="s">
        <v>982</v>
      </c>
      <c r="C38" t="s">
        <v>1042</v>
      </c>
      <c r="D38" t="s">
        <v>971</v>
      </c>
      <c r="E38" s="17" t="str">
        <f t="shared" si="0"/>
        <v/>
      </c>
    </row>
    <row r="39" spans="1:5" x14ac:dyDescent="0.25">
      <c r="A39" s="1" t="s">
        <v>40</v>
      </c>
      <c r="B39" t="s">
        <v>983</v>
      </c>
      <c r="C39" t="s">
        <v>1042</v>
      </c>
      <c r="D39" t="s">
        <v>971</v>
      </c>
      <c r="E39" s="17" t="str">
        <f t="shared" si="0"/>
        <v/>
      </c>
    </row>
    <row r="40" spans="1:5" x14ac:dyDescent="0.25">
      <c r="A40" s="1" t="s">
        <v>29</v>
      </c>
      <c r="B40" t="s">
        <v>30</v>
      </c>
      <c r="C40" t="s">
        <v>1042</v>
      </c>
      <c r="D40" t="s">
        <v>973</v>
      </c>
      <c r="E40" s="17" t="str">
        <f t="shared" si="0"/>
        <v/>
      </c>
    </row>
    <row r="41" spans="1:5" x14ac:dyDescent="0.25">
      <c r="A41" s="1" t="s">
        <v>296</v>
      </c>
      <c r="B41" t="s">
        <v>297</v>
      </c>
      <c r="C41" t="s">
        <v>1042</v>
      </c>
      <c r="D41" t="s">
        <v>973</v>
      </c>
      <c r="E41" s="17" t="str">
        <f t="shared" si="0"/>
        <v/>
      </c>
    </row>
    <row r="42" spans="1:5" x14ac:dyDescent="0.25">
      <c r="A42" s="1" t="s">
        <v>221</v>
      </c>
      <c r="B42" t="s">
        <v>222</v>
      </c>
      <c r="C42" t="s">
        <v>1042</v>
      </c>
      <c r="D42" t="s">
        <v>973</v>
      </c>
      <c r="E42" s="17" t="str">
        <f t="shared" si="0"/>
        <v/>
      </c>
    </row>
    <row r="43" spans="1:5" x14ac:dyDescent="0.25">
      <c r="A43" s="1" t="s">
        <v>225</v>
      </c>
      <c r="B43" s="1" t="s">
        <v>226</v>
      </c>
      <c r="C43" t="s">
        <v>1042</v>
      </c>
      <c r="D43" t="s">
        <v>973</v>
      </c>
      <c r="E43" s="17" t="str">
        <f t="shared" si="0"/>
        <v/>
      </c>
    </row>
    <row r="44" spans="1:5" x14ac:dyDescent="0.25">
      <c r="A44" s="1" t="s">
        <v>287</v>
      </c>
      <c r="B44" t="s">
        <v>562</v>
      </c>
      <c r="C44" t="s">
        <v>1042</v>
      </c>
      <c r="D44" t="s">
        <v>971</v>
      </c>
      <c r="E44" s="17" t="str">
        <f t="shared" si="0"/>
        <v/>
      </c>
    </row>
    <row r="45" spans="1:5" x14ac:dyDescent="0.25">
      <c r="A45" s="1" t="s">
        <v>34</v>
      </c>
      <c r="B45" t="s">
        <v>35</v>
      </c>
      <c r="C45" t="s">
        <v>1042</v>
      </c>
      <c r="D45" t="s">
        <v>973</v>
      </c>
      <c r="E45" s="17" t="str">
        <f t="shared" si="0"/>
        <v/>
      </c>
    </row>
    <row r="46" spans="1:5" x14ac:dyDescent="0.25">
      <c r="A46" s="1" t="s">
        <v>48</v>
      </c>
      <c r="B46" t="s">
        <v>984</v>
      </c>
      <c r="C46" t="s">
        <v>1042</v>
      </c>
      <c r="D46" t="s">
        <v>971</v>
      </c>
      <c r="E46" s="17" t="str">
        <f t="shared" si="0"/>
        <v/>
      </c>
    </row>
    <row r="47" spans="1:5" x14ac:dyDescent="0.25">
      <c r="A47" s="1" t="s">
        <v>151</v>
      </c>
      <c r="B47" t="s">
        <v>152</v>
      </c>
      <c r="C47" t="s">
        <v>1042</v>
      </c>
      <c r="D47" t="s">
        <v>973</v>
      </c>
      <c r="E47" s="17" t="str">
        <f t="shared" si="0"/>
        <v/>
      </c>
    </row>
    <row r="48" spans="1:5" x14ac:dyDescent="0.25">
      <c r="A48" s="1" t="s">
        <v>36</v>
      </c>
      <c r="B48" t="s">
        <v>985</v>
      </c>
      <c r="C48" t="s">
        <v>1042</v>
      </c>
      <c r="D48" t="s">
        <v>971</v>
      </c>
      <c r="E48" s="17" t="str">
        <f t="shared" si="0"/>
        <v/>
      </c>
    </row>
    <row r="49" spans="1:5" x14ac:dyDescent="0.25">
      <c r="A49" s="1" t="s">
        <v>113</v>
      </c>
      <c r="B49" t="s">
        <v>114</v>
      </c>
      <c r="C49" t="s">
        <v>1042</v>
      </c>
      <c r="D49" t="s">
        <v>973</v>
      </c>
      <c r="E49" s="17" t="str">
        <f t="shared" si="0"/>
        <v/>
      </c>
    </row>
    <row r="50" spans="1:5" x14ac:dyDescent="0.25">
      <c r="A50" s="1" t="s">
        <v>302</v>
      </c>
      <c r="B50" t="s">
        <v>303</v>
      </c>
      <c r="C50" t="s">
        <v>1042</v>
      </c>
      <c r="D50" t="s">
        <v>973</v>
      </c>
      <c r="E50" s="17" t="str">
        <f t="shared" si="0"/>
        <v/>
      </c>
    </row>
    <row r="51" spans="1:5" x14ac:dyDescent="0.25">
      <c r="A51" s="1" t="s">
        <v>135</v>
      </c>
      <c r="B51" s="1" t="s">
        <v>986</v>
      </c>
      <c r="C51" t="s">
        <v>1042</v>
      </c>
      <c r="D51" t="s">
        <v>971</v>
      </c>
      <c r="E51" s="17" t="str">
        <f t="shared" si="0"/>
        <v/>
      </c>
    </row>
    <row r="52" spans="1:5" x14ac:dyDescent="0.25">
      <c r="A52" s="1" t="s">
        <v>335</v>
      </c>
      <c r="B52" t="s">
        <v>336</v>
      </c>
      <c r="C52" t="s">
        <v>1042</v>
      </c>
      <c r="D52" t="s">
        <v>973</v>
      </c>
      <c r="E52" s="17" t="str">
        <f t="shared" si="0"/>
        <v/>
      </c>
    </row>
    <row r="53" spans="1:5" x14ac:dyDescent="0.25">
      <c r="A53" s="1" t="s">
        <v>989</v>
      </c>
      <c r="B53" s="1" t="s">
        <v>987</v>
      </c>
      <c r="C53" t="s">
        <v>1042</v>
      </c>
      <c r="D53" t="s">
        <v>971</v>
      </c>
      <c r="E53" s="17" t="str">
        <f t="shared" si="0"/>
        <v/>
      </c>
    </row>
    <row r="54" spans="1:5" x14ac:dyDescent="0.25">
      <c r="A54" s="1" t="s">
        <v>990</v>
      </c>
      <c r="B54" s="1" t="s">
        <v>988</v>
      </c>
      <c r="C54" t="s">
        <v>1042</v>
      </c>
      <c r="D54" t="s">
        <v>971</v>
      </c>
      <c r="E54" s="17" t="str">
        <f t="shared" si="0"/>
        <v/>
      </c>
    </row>
    <row r="55" spans="1:5" x14ac:dyDescent="0.25">
      <c r="A55" s="1" t="s">
        <v>205</v>
      </c>
      <c r="B55" t="s">
        <v>206</v>
      </c>
      <c r="C55" t="s">
        <v>1042</v>
      </c>
      <c r="D55" t="s">
        <v>973</v>
      </c>
      <c r="E55" s="17" t="str">
        <f t="shared" si="0"/>
        <v/>
      </c>
    </row>
    <row r="56" spans="1:5" x14ac:dyDescent="0.25">
      <c r="A56" s="1" t="s">
        <v>216</v>
      </c>
      <c r="B56" s="2" t="s">
        <v>353</v>
      </c>
      <c r="C56" t="s">
        <v>1042</v>
      </c>
      <c r="D56" t="s">
        <v>973</v>
      </c>
      <c r="E56" s="17" t="str">
        <f t="shared" si="0"/>
        <v/>
      </c>
    </row>
    <row r="57" spans="1:5" x14ac:dyDescent="0.25">
      <c r="A57" s="1" t="s">
        <v>80</v>
      </c>
      <c r="B57" s="1" t="s">
        <v>669</v>
      </c>
      <c r="C57" t="s">
        <v>1042</v>
      </c>
      <c r="D57" t="s">
        <v>971</v>
      </c>
      <c r="E57" s="17" t="str">
        <f t="shared" si="0"/>
        <v/>
      </c>
    </row>
    <row r="58" spans="1:5" x14ac:dyDescent="0.25">
      <c r="A58" s="1" t="s">
        <v>146</v>
      </c>
      <c r="B58" t="s">
        <v>147</v>
      </c>
      <c r="C58" t="s">
        <v>1042</v>
      </c>
      <c r="D58" t="s">
        <v>973</v>
      </c>
      <c r="E58" s="17" t="str">
        <f t="shared" si="0"/>
        <v/>
      </c>
    </row>
    <row r="59" spans="1:5" x14ac:dyDescent="0.25">
      <c r="A59" s="1" t="s">
        <v>281</v>
      </c>
      <c r="B59" t="s">
        <v>282</v>
      </c>
      <c r="C59" t="s">
        <v>1042</v>
      </c>
      <c r="D59" t="s">
        <v>973</v>
      </c>
      <c r="E59" s="17" t="str">
        <f t="shared" si="0"/>
        <v/>
      </c>
    </row>
    <row r="60" spans="1:5" x14ac:dyDescent="0.25">
      <c r="A60" s="1" t="s">
        <v>57</v>
      </c>
      <c r="B60" s="1" t="s">
        <v>991</v>
      </c>
      <c r="C60" t="s">
        <v>1042</v>
      </c>
      <c r="D60" t="s">
        <v>971</v>
      </c>
      <c r="E60" s="17" t="str">
        <f t="shared" si="0"/>
        <v/>
      </c>
    </row>
    <row r="61" spans="1:5" x14ac:dyDescent="0.25">
      <c r="A61" s="1" t="s">
        <v>285</v>
      </c>
      <c r="B61" t="s">
        <v>286</v>
      </c>
      <c r="C61" t="s">
        <v>1042</v>
      </c>
      <c r="D61" t="s">
        <v>973</v>
      </c>
      <c r="E61" s="17" t="str">
        <f t="shared" si="0"/>
        <v/>
      </c>
    </row>
    <row r="62" spans="1:5" x14ac:dyDescent="0.25">
      <c r="A62" s="1" t="s">
        <v>120</v>
      </c>
      <c r="B62" t="s">
        <v>448</v>
      </c>
      <c r="C62" t="s">
        <v>1042</v>
      </c>
      <c r="D62" t="s">
        <v>973</v>
      </c>
      <c r="E62" s="17" t="str">
        <f t="shared" si="0"/>
        <v/>
      </c>
    </row>
    <row r="63" spans="1:5" x14ac:dyDescent="0.25">
      <c r="A63" s="1" t="s">
        <v>578</v>
      </c>
      <c r="B63" t="s">
        <v>576</v>
      </c>
      <c r="C63" t="s">
        <v>1042</v>
      </c>
      <c r="D63" t="s">
        <v>971</v>
      </c>
      <c r="E63" s="17" t="str">
        <f t="shared" ref="E63:E118" si="1">IF(G63="","",HYPERLINK(G63,"Link"))</f>
        <v/>
      </c>
    </row>
    <row r="64" spans="1:5" x14ac:dyDescent="0.25">
      <c r="A64" s="1" t="s">
        <v>312</v>
      </c>
      <c r="B64" t="s">
        <v>313</v>
      </c>
      <c r="C64" t="s">
        <v>1042</v>
      </c>
      <c r="D64" t="s">
        <v>973</v>
      </c>
      <c r="E64" s="17" t="str">
        <f t="shared" si="1"/>
        <v/>
      </c>
    </row>
    <row r="65" spans="1:5" x14ac:dyDescent="0.25">
      <c r="A65" s="1" t="s">
        <v>641</v>
      </c>
      <c r="B65" t="s">
        <v>276</v>
      </c>
      <c r="C65" t="s">
        <v>1042</v>
      </c>
      <c r="D65" t="s">
        <v>973</v>
      </c>
      <c r="E65" s="17" t="str">
        <f t="shared" si="1"/>
        <v/>
      </c>
    </row>
    <row r="66" spans="1:5" x14ac:dyDescent="0.25">
      <c r="A66" s="1" t="s">
        <v>2</v>
      </c>
      <c r="B66" t="s">
        <v>3</v>
      </c>
      <c r="C66" t="s">
        <v>1042</v>
      </c>
      <c r="D66" t="s">
        <v>1006</v>
      </c>
      <c r="E66" s="17" t="str">
        <f t="shared" si="1"/>
        <v/>
      </c>
    </row>
    <row r="67" spans="1:5" x14ac:dyDescent="0.25">
      <c r="A67" s="1" t="s">
        <v>998</v>
      </c>
      <c r="B67" t="s">
        <v>992</v>
      </c>
      <c r="C67" t="s">
        <v>1042</v>
      </c>
      <c r="D67" t="s">
        <v>971</v>
      </c>
      <c r="E67" s="17" t="str">
        <f t="shared" si="1"/>
        <v/>
      </c>
    </row>
    <row r="68" spans="1:5" x14ac:dyDescent="0.25">
      <c r="A68" s="1" t="s">
        <v>292</v>
      </c>
      <c r="B68" t="s">
        <v>293</v>
      </c>
      <c r="C68" t="s">
        <v>1042</v>
      </c>
      <c r="D68" t="s">
        <v>973</v>
      </c>
      <c r="E68" s="17" t="str">
        <f t="shared" si="1"/>
        <v/>
      </c>
    </row>
    <row r="69" spans="1:5" x14ac:dyDescent="0.25">
      <c r="A69" s="1" t="s">
        <v>58</v>
      </c>
      <c r="B69" s="1" t="s">
        <v>59</v>
      </c>
      <c r="C69" t="s">
        <v>1042</v>
      </c>
      <c r="D69" t="s">
        <v>973</v>
      </c>
      <c r="E69" s="17" t="str">
        <f t="shared" si="1"/>
        <v/>
      </c>
    </row>
    <row r="70" spans="1:5" x14ac:dyDescent="0.25">
      <c r="A70" s="1" t="s">
        <v>268</v>
      </c>
      <c r="B70" t="s">
        <v>269</v>
      </c>
      <c r="C70" t="s">
        <v>1042</v>
      </c>
      <c r="D70" t="s">
        <v>973</v>
      </c>
      <c r="E70" s="17" t="str">
        <f t="shared" si="1"/>
        <v/>
      </c>
    </row>
    <row r="71" spans="1:5" x14ac:dyDescent="0.25">
      <c r="A71" s="1" t="s">
        <v>999</v>
      </c>
      <c r="B71" t="s">
        <v>169</v>
      </c>
      <c r="C71" t="s">
        <v>1042</v>
      </c>
      <c r="D71" t="s">
        <v>973</v>
      </c>
      <c r="E71" s="17" t="str">
        <f t="shared" si="1"/>
        <v/>
      </c>
    </row>
    <row r="72" spans="1:5" x14ac:dyDescent="0.25">
      <c r="A72" s="1" t="s">
        <v>1000</v>
      </c>
      <c r="B72" s="1" t="s">
        <v>240</v>
      </c>
      <c r="C72" t="s">
        <v>1042</v>
      </c>
      <c r="D72" t="s">
        <v>973</v>
      </c>
      <c r="E72" s="17" t="str">
        <f t="shared" si="1"/>
        <v/>
      </c>
    </row>
    <row r="73" spans="1:5" x14ac:dyDescent="0.25">
      <c r="A73" s="1" t="s">
        <v>994</v>
      </c>
      <c r="B73" t="s">
        <v>993</v>
      </c>
      <c r="C73" t="s">
        <v>1042</v>
      </c>
      <c r="D73" t="s">
        <v>971</v>
      </c>
      <c r="E73" s="17" t="str">
        <f t="shared" si="1"/>
        <v/>
      </c>
    </row>
    <row r="74" spans="1:5" x14ac:dyDescent="0.25">
      <c r="A74" s="1" t="s">
        <v>212</v>
      </c>
      <c r="B74" s="1" t="s">
        <v>213</v>
      </c>
      <c r="C74" t="s">
        <v>1037</v>
      </c>
      <c r="D74" t="s">
        <v>941</v>
      </c>
      <c r="E74" s="17" t="str">
        <f t="shared" si="1"/>
        <v/>
      </c>
    </row>
    <row r="75" spans="1:5" x14ac:dyDescent="0.25">
      <c r="A75" s="1" t="s">
        <v>347</v>
      </c>
      <c r="B75" t="s">
        <v>1002</v>
      </c>
      <c r="C75" t="s">
        <v>1042</v>
      </c>
      <c r="D75" t="s">
        <v>971</v>
      </c>
      <c r="E75" s="17" t="str">
        <f t="shared" si="1"/>
        <v/>
      </c>
    </row>
    <row r="76" spans="1:5" x14ac:dyDescent="0.25">
      <c r="A76" s="1" t="s">
        <v>264</v>
      </c>
      <c r="B76" t="s">
        <v>265</v>
      </c>
      <c r="C76" t="s">
        <v>1042</v>
      </c>
      <c r="D76" t="s">
        <v>973</v>
      </c>
      <c r="E76" s="17" t="str">
        <f t="shared" si="1"/>
        <v/>
      </c>
    </row>
    <row r="77" spans="1:5" x14ac:dyDescent="0.25">
      <c r="A77" s="1" t="s">
        <v>117</v>
      </c>
      <c r="B77" t="s">
        <v>1003</v>
      </c>
      <c r="C77" t="s">
        <v>1042</v>
      </c>
      <c r="D77" t="s">
        <v>971</v>
      </c>
      <c r="E77" s="17" t="str">
        <f t="shared" si="1"/>
        <v/>
      </c>
    </row>
    <row r="78" spans="1:5" x14ac:dyDescent="0.25">
      <c r="A78" s="1" t="s">
        <v>300</v>
      </c>
      <c r="B78" s="1" t="s">
        <v>301</v>
      </c>
      <c r="C78" t="s">
        <v>1042</v>
      </c>
      <c r="D78" t="s">
        <v>973</v>
      </c>
      <c r="E78" s="17" t="str">
        <f t="shared" si="1"/>
        <v/>
      </c>
    </row>
    <row r="79" spans="1:5" x14ac:dyDescent="0.25">
      <c r="A79" s="1" t="s">
        <v>340</v>
      </c>
      <c r="B79" s="1" t="s">
        <v>341</v>
      </c>
      <c r="C79" t="s">
        <v>1042</v>
      </c>
      <c r="D79" t="s">
        <v>973</v>
      </c>
      <c r="E79" s="17" t="str">
        <f t="shared" si="1"/>
        <v/>
      </c>
    </row>
    <row r="80" spans="1:5" x14ac:dyDescent="0.25">
      <c r="A80" s="1" t="s">
        <v>123</v>
      </c>
      <c r="B80" t="s">
        <v>124</v>
      </c>
      <c r="C80" t="s">
        <v>1042</v>
      </c>
      <c r="D80" t="s">
        <v>973</v>
      </c>
      <c r="E80" s="17" t="str">
        <f t="shared" si="1"/>
        <v/>
      </c>
    </row>
    <row r="81" spans="1:6" x14ac:dyDescent="0.25">
      <c r="A81" s="1" t="s">
        <v>231</v>
      </c>
      <c r="B81" t="s">
        <v>232</v>
      </c>
      <c r="C81" t="s">
        <v>1037</v>
      </c>
      <c r="D81" t="s">
        <v>941</v>
      </c>
      <c r="E81" s="17" t="str">
        <f t="shared" si="1"/>
        <v/>
      </c>
    </row>
    <row r="82" spans="1:6" x14ac:dyDescent="0.25">
      <c r="A82" s="1" t="s">
        <v>342</v>
      </c>
      <c r="B82" t="s">
        <v>1004</v>
      </c>
      <c r="C82" t="s">
        <v>1042</v>
      </c>
      <c r="D82" t="s">
        <v>971</v>
      </c>
      <c r="E82" s="17" t="str">
        <f t="shared" si="1"/>
        <v/>
      </c>
    </row>
    <row r="83" spans="1:6" x14ac:dyDescent="0.25">
      <c r="A83" s="1" t="s">
        <v>332</v>
      </c>
      <c r="B83" s="1" t="s">
        <v>333</v>
      </c>
      <c r="C83" t="s">
        <v>1042</v>
      </c>
      <c r="D83" t="s">
        <v>973</v>
      </c>
      <c r="E83" s="17" t="str">
        <f t="shared" si="1"/>
        <v/>
      </c>
    </row>
    <row r="84" spans="1:6" x14ac:dyDescent="0.25">
      <c r="A84" s="1" t="s">
        <v>43</v>
      </c>
      <c r="B84" s="1" t="s">
        <v>44</v>
      </c>
      <c r="C84" t="s">
        <v>1042</v>
      </c>
      <c r="D84" t="s">
        <v>972</v>
      </c>
      <c r="E84" s="17" t="str">
        <f t="shared" si="1"/>
        <v/>
      </c>
      <c r="F84" t="s">
        <v>497</v>
      </c>
    </row>
    <row r="85" spans="1:6" x14ac:dyDescent="0.25">
      <c r="A85" s="1" t="s">
        <v>1001</v>
      </c>
      <c r="B85" t="s">
        <v>1005</v>
      </c>
      <c r="C85" t="s">
        <v>1042</v>
      </c>
      <c r="D85" t="s">
        <v>971</v>
      </c>
      <c r="E85" s="17" t="str">
        <f t="shared" si="1"/>
        <v/>
      </c>
    </row>
    <row r="86" spans="1:6" x14ac:dyDescent="0.25">
      <c r="A86" s="1" t="s">
        <v>130</v>
      </c>
      <c r="B86" t="s">
        <v>705</v>
      </c>
      <c r="C86" t="s">
        <v>1042</v>
      </c>
      <c r="D86" t="s">
        <v>971</v>
      </c>
      <c r="E86" s="17" t="str">
        <f t="shared" si="1"/>
        <v/>
      </c>
    </row>
    <row r="87" spans="1:6" x14ac:dyDescent="0.25">
      <c r="A87" s="1" t="s">
        <v>19</v>
      </c>
      <c r="B87" t="s">
        <v>20</v>
      </c>
      <c r="C87" t="s">
        <v>1042</v>
      </c>
      <c r="D87" t="s">
        <v>973</v>
      </c>
      <c r="E87" s="17" t="str">
        <f t="shared" si="1"/>
        <v/>
      </c>
    </row>
    <row r="88" spans="1:6" x14ac:dyDescent="0.25">
      <c r="A88" s="1" t="s">
        <v>298</v>
      </c>
      <c r="B88" t="s">
        <v>299</v>
      </c>
      <c r="C88" t="s">
        <v>1042</v>
      </c>
      <c r="D88" t="s">
        <v>1006</v>
      </c>
      <c r="E88" s="17" t="str">
        <f t="shared" si="1"/>
        <v/>
      </c>
    </row>
    <row r="89" spans="1:6" x14ac:dyDescent="0.25">
      <c r="A89" s="1" t="s">
        <v>60</v>
      </c>
      <c r="B89" t="s">
        <v>61</v>
      </c>
      <c r="C89" t="s">
        <v>1042</v>
      </c>
      <c r="D89" t="s">
        <v>1006</v>
      </c>
      <c r="E89" s="17" t="str">
        <f t="shared" si="1"/>
        <v/>
      </c>
    </row>
    <row r="90" spans="1:6" x14ac:dyDescent="0.25">
      <c r="A90" s="1" t="s">
        <v>136</v>
      </c>
      <c r="B90" s="1" t="s">
        <v>137</v>
      </c>
      <c r="C90" t="s">
        <v>1042</v>
      </c>
      <c r="D90" t="s">
        <v>973</v>
      </c>
      <c r="E90" s="17" t="str">
        <f t="shared" si="1"/>
        <v/>
      </c>
    </row>
    <row r="91" spans="1:6" x14ac:dyDescent="0.25">
      <c r="A91" s="1" t="s">
        <v>288</v>
      </c>
      <c r="B91" s="1" t="s">
        <v>289</v>
      </c>
      <c r="C91" t="s">
        <v>1042</v>
      </c>
      <c r="D91" t="s">
        <v>973</v>
      </c>
      <c r="E91" s="17" t="str">
        <f t="shared" si="1"/>
        <v/>
      </c>
    </row>
    <row r="92" spans="1:6" x14ac:dyDescent="0.25">
      <c r="A92" s="1" t="s">
        <v>86</v>
      </c>
      <c r="B92" s="1" t="s">
        <v>87</v>
      </c>
      <c r="C92" t="s">
        <v>1042</v>
      </c>
      <c r="D92" t="s">
        <v>973</v>
      </c>
      <c r="E92" s="17" t="str">
        <f t="shared" si="1"/>
        <v/>
      </c>
    </row>
    <row r="93" spans="1:6" x14ac:dyDescent="0.25">
      <c r="A93" s="1" t="s">
        <v>207</v>
      </c>
      <c r="B93" t="s">
        <v>208</v>
      </c>
      <c r="C93" t="s">
        <v>1042</v>
      </c>
      <c r="D93" t="s">
        <v>973</v>
      </c>
      <c r="E93" s="17" t="str">
        <f t="shared" si="1"/>
        <v/>
      </c>
    </row>
    <row r="94" spans="1:6" x14ac:dyDescent="0.25">
      <c r="A94" s="1" t="s">
        <v>78</v>
      </c>
      <c r="B94" t="s">
        <v>79</v>
      </c>
      <c r="C94" t="s">
        <v>1042</v>
      </c>
      <c r="D94" t="s">
        <v>973</v>
      </c>
      <c r="E94" s="17" t="str">
        <f t="shared" si="1"/>
        <v/>
      </c>
    </row>
    <row r="95" spans="1:6" x14ac:dyDescent="0.25">
      <c r="A95" s="1" t="s">
        <v>76</v>
      </c>
      <c r="B95" t="s">
        <v>77</v>
      </c>
      <c r="C95" t="s">
        <v>1042</v>
      </c>
      <c r="D95" t="s">
        <v>973</v>
      </c>
      <c r="E95" s="17" t="str">
        <f t="shared" si="1"/>
        <v/>
      </c>
    </row>
    <row r="96" spans="1:6" x14ac:dyDescent="0.25">
      <c r="A96" s="1" t="s">
        <v>182</v>
      </c>
      <c r="B96" t="s">
        <v>183</v>
      </c>
      <c r="C96" t="s">
        <v>1042</v>
      </c>
      <c r="D96" t="s">
        <v>973</v>
      </c>
      <c r="E96" s="17" t="str">
        <f t="shared" si="1"/>
        <v/>
      </c>
    </row>
    <row r="97" spans="1:7" x14ac:dyDescent="0.25">
      <c r="A97" s="1" t="s">
        <v>102</v>
      </c>
      <c r="B97" t="s">
        <v>103</v>
      </c>
      <c r="C97" t="s">
        <v>1042</v>
      </c>
      <c r="D97" t="s">
        <v>973</v>
      </c>
      <c r="E97" s="17" t="str">
        <f t="shared" si="1"/>
        <v/>
      </c>
    </row>
    <row r="98" spans="1:7" x14ac:dyDescent="0.25">
      <c r="A98" s="1" t="s">
        <v>140</v>
      </c>
      <c r="B98" s="1" t="s">
        <v>141</v>
      </c>
      <c r="C98" t="s">
        <v>1042</v>
      </c>
      <c r="D98" t="s">
        <v>973</v>
      </c>
      <c r="E98" s="17" t="str">
        <f t="shared" si="1"/>
        <v/>
      </c>
    </row>
    <row r="99" spans="1:7" x14ac:dyDescent="0.25">
      <c r="A99" s="1" t="s">
        <v>121</v>
      </c>
      <c r="B99" t="s">
        <v>122</v>
      </c>
      <c r="C99" t="s">
        <v>1042</v>
      </c>
      <c r="D99" t="s">
        <v>1006</v>
      </c>
      <c r="E99" s="17" t="str">
        <f t="shared" si="1"/>
        <v/>
      </c>
    </row>
    <row r="100" spans="1:7" x14ac:dyDescent="0.25">
      <c r="A100" s="1" t="s">
        <v>932</v>
      </c>
      <c r="B100" s="1" t="s">
        <v>156</v>
      </c>
      <c r="C100" s="1" t="s">
        <v>1037</v>
      </c>
      <c r="D100" s="1" t="s">
        <v>934</v>
      </c>
      <c r="E100" s="17" t="str">
        <f t="shared" si="1"/>
        <v>Link</v>
      </c>
      <c r="G100" t="s">
        <v>963</v>
      </c>
    </row>
    <row r="101" spans="1:7" x14ac:dyDescent="0.25">
      <c r="A101" s="1" t="s">
        <v>13</v>
      </c>
      <c r="B101" t="s">
        <v>560</v>
      </c>
      <c r="C101" t="s">
        <v>1042</v>
      </c>
      <c r="D101" t="s">
        <v>971</v>
      </c>
      <c r="E101" s="17" t="str">
        <f t="shared" si="1"/>
        <v/>
      </c>
    </row>
    <row r="102" spans="1:7" x14ac:dyDescent="0.25">
      <c r="A102" s="1" t="s">
        <v>138</v>
      </c>
      <c r="B102" t="s">
        <v>139</v>
      </c>
      <c r="C102" t="s">
        <v>1042</v>
      </c>
      <c r="D102" t="s">
        <v>973</v>
      </c>
      <c r="E102" s="17" t="str">
        <f t="shared" si="1"/>
        <v/>
      </c>
    </row>
    <row r="103" spans="1:7" x14ac:dyDescent="0.25">
      <c r="A103" s="1" t="s">
        <v>66</v>
      </c>
      <c r="B103" s="1" t="s">
        <v>67</v>
      </c>
      <c r="C103" t="s">
        <v>1042</v>
      </c>
      <c r="D103" t="s">
        <v>973</v>
      </c>
      <c r="E103" s="17" t="str">
        <f t="shared" si="1"/>
        <v/>
      </c>
    </row>
    <row r="104" spans="1:7" x14ac:dyDescent="0.25">
      <c r="A104" s="1" t="s">
        <v>99</v>
      </c>
      <c r="B104" t="s">
        <v>371</v>
      </c>
      <c r="C104" t="s">
        <v>1042</v>
      </c>
      <c r="D104" t="s">
        <v>973</v>
      </c>
      <c r="E104" s="17" t="str">
        <f t="shared" si="1"/>
        <v/>
      </c>
    </row>
    <row r="105" spans="1:7" x14ac:dyDescent="0.25">
      <c r="A105" s="1" t="s">
        <v>236</v>
      </c>
      <c r="B105" s="1" t="s">
        <v>237</v>
      </c>
      <c r="C105" t="s">
        <v>1042</v>
      </c>
      <c r="D105" t="s">
        <v>973</v>
      </c>
      <c r="E105" s="17" t="str">
        <f t="shared" si="1"/>
        <v/>
      </c>
    </row>
    <row r="106" spans="1:7" x14ac:dyDescent="0.25">
      <c r="A106" s="1" t="s">
        <v>106</v>
      </c>
      <c r="B106" s="1" t="s">
        <v>357</v>
      </c>
      <c r="C106" t="s">
        <v>1042</v>
      </c>
      <c r="D106" t="s">
        <v>973</v>
      </c>
      <c r="E106" s="17" t="str">
        <f t="shared" si="1"/>
        <v/>
      </c>
    </row>
    <row r="107" spans="1:7" x14ac:dyDescent="0.25">
      <c r="A107" s="1" t="s">
        <v>184</v>
      </c>
      <c r="B107" t="s">
        <v>1007</v>
      </c>
      <c r="C107" t="s">
        <v>1042</v>
      </c>
      <c r="D107" t="s">
        <v>971</v>
      </c>
      <c r="E107" s="17" t="str">
        <f t="shared" si="1"/>
        <v/>
      </c>
    </row>
    <row r="108" spans="1:7" x14ac:dyDescent="0.25">
      <c r="A108" s="1" t="s">
        <v>4</v>
      </c>
      <c r="B108" t="s">
        <v>5</v>
      </c>
      <c r="C108" t="s">
        <v>1042</v>
      </c>
      <c r="D108" t="s">
        <v>973</v>
      </c>
      <c r="E108" s="17" t="str">
        <f t="shared" si="1"/>
        <v/>
      </c>
    </row>
    <row r="109" spans="1:7" x14ac:dyDescent="0.25">
      <c r="A109" s="1" t="s">
        <v>179</v>
      </c>
      <c r="B109" s="1" t="s">
        <v>1008</v>
      </c>
      <c r="C109" t="s">
        <v>1042</v>
      </c>
      <c r="D109" t="s">
        <v>971</v>
      </c>
      <c r="E109" s="17" t="str">
        <f t="shared" si="1"/>
        <v/>
      </c>
    </row>
    <row r="110" spans="1:7" x14ac:dyDescent="0.25">
      <c r="A110" s="1" t="s">
        <v>824</v>
      </c>
      <c r="B110" t="s">
        <v>825</v>
      </c>
      <c r="C110" t="s">
        <v>1042</v>
      </c>
      <c r="D110" t="s">
        <v>971</v>
      </c>
      <c r="E110" s="17" t="str">
        <f t="shared" si="1"/>
        <v/>
      </c>
    </row>
    <row r="111" spans="1:7" x14ac:dyDescent="0.25">
      <c r="A111" s="1" t="s">
        <v>1009</v>
      </c>
      <c r="B111" t="s">
        <v>45</v>
      </c>
      <c r="C111" t="s">
        <v>1042</v>
      </c>
      <c r="D111" t="s">
        <v>973</v>
      </c>
      <c r="E111" s="17" t="str">
        <f t="shared" si="1"/>
        <v/>
      </c>
    </row>
    <row r="112" spans="1:7" x14ac:dyDescent="0.25">
      <c r="A112" s="1" t="s">
        <v>304</v>
      </c>
      <c r="B112" t="s">
        <v>1010</v>
      </c>
      <c r="C112" t="s">
        <v>1042</v>
      </c>
      <c r="D112" t="s">
        <v>971</v>
      </c>
      <c r="E112" s="17" t="str">
        <f t="shared" si="1"/>
        <v/>
      </c>
    </row>
    <row r="113" spans="1:5" x14ac:dyDescent="0.25">
      <c r="A113" s="1" t="s">
        <v>18</v>
      </c>
      <c r="B113" t="s">
        <v>1011</v>
      </c>
      <c r="C113" t="s">
        <v>1042</v>
      </c>
      <c r="D113" t="s">
        <v>971</v>
      </c>
      <c r="E113" s="17" t="str">
        <f t="shared" si="1"/>
        <v/>
      </c>
    </row>
    <row r="114" spans="1:5" x14ac:dyDescent="0.25">
      <c r="A114" s="1" t="s">
        <v>68</v>
      </c>
      <c r="B114" s="1" t="s">
        <v>69</v>
      </c>
      <c r="C114" t="s">
        <v>1042</v>
      </c>
      <c r="D114" t="s">
        <v>973</v>
      </c>
      <c r="E114" s="17" t="str">
        <f t="shared" si="1"/>
        <v/>
      </c>
    </row>
    <row r="115" spans="1:5" x14ac:dyDescent="0.25">
      <c r="A115" s="1" t="s">
        <v>338</v>
      </c>
      <c r="B115" s="1" t="s">
        <v>339</v>
      </c>
      <c r="C115" t="s">
        <v>1042</v>
      </c>
      <c r="D115" t="s">
        <v>973</v>
      </c>
      <c r="E115" s="17" t="str">
        <f t="shared" si="1"/>
        <v/>
      </c>
    </row>
    <row r="116" spans="1:5" x14ac:dyDescent="0.25">
      <c r="A116" s="1" t="s">
        <v>396</v>
      </c>
      <c r="B116" s="1" t="s">
        <v>73</v>
      </c>
      <c r="C116" t="s">
        <v>1042</v>
      </c>
      <c r="D116" t="s">
        <v>973</v>
      </c>
      <c r="E116" s="17" t="str">
        <f t="shared" si="1"/>
        <v/>
      </c>
    </row>
    <row r="117" spans="1:5" x14ac:dyDescent="0.25">
      <c r="A117" s="1" t="s">
        <v>74</v>
      </c>
      <c r="B117" t="s">
        <v>75</v>
      </c>
      <c r="C117" t="s">
        <v>1042</v>
      </c>
      <c r="D117" t="s">
        <v>973</v>
      </c>
      <c r="E117" s="17" t="str">
        <f t="shared" si="1"/>
        <v/>
      </c>
    </row>
    <row r="118" spans="1:5" x14ac:dyDescent="0.25">
      <c r="A118" s="1" t="s">
        <v>14</v>
      </c>
      <c r="B118" t="s">
        <v>15</v>
      </c>
      <c r="C118" t="s">
        <v>1042</v>
      </c>
      <c r="D118" t="s">
        <v>973</v>
      </c>
      <c r="E118" s="17" t="str">
        <f t="shared" si="1"/>
        <v/>
      </c>
    </row>
    <row r="119" spans="1:5" x14ac:dyDescent="0.25">
      <c r="A119" s="1" t="s">
        <v>93</v>
      </c>
      <c r="B119" s="1" t="s">
        <v>94</v>
      </c>
      <c r="C119" t="s">
        <v>1042</v>
      </c>
      <c r="D119" t="s">
        <v>973</v>
      </c>
      <c r="E119" s="17" t="str">
        <f t="shared" ref="E119:E178" si="2">IF(G119="","",HYPERLINK(G119,"Link"))</f>
        <v/>
      </c>
    </row>
    <row r="120" spans="1:5" x14ac:dyDescent="0.25">
      <c r="A120" s="1" t="s">
        <v>305</v>
      </c>
      <c r="B120" t="s">
        <v>1012</v>
      </c>
      <c r="C120" t="s">
        <v>1042</v>
      </c>
      <c r="D120" t="s">
        <v>971</v>
      </c>
      <c r="E120" s="17" t="str">
        <f t="shared" si="2"/>
        <v/>
      </c>
    </row>
    <row r="121" spans="1:5" x14ac:dyDescent="0.25">
      <c r="A121" s="1" t="s">
        <v>262</v>
      </c>
      <c r="B121" t="s">
        <v>263</v>
      </c>
      <c r="C121" t="s">
        <v>1042</v>
      </c>
      <c r="D121" t="s">
        <v>973</v>
      </c>
      <c r="E121" s="17" t="str">
        <f t="shared" si="2"/>
        <v/>
      </c>
    </row>
    <row r="122" spans="1:5" x14ac:dyDescent="0.25">
      <c r="A122" s="1" t="s">
        <v>337</v>
      </c>
      <c r="B122" t="s">
        <v>1013</v>
      </c>
      <c r="C122" t="s">
        <v>1042</v>
      </c>
      <c r="D122" t="s">
        <v>971</v>
      </c>
      <c r="E122" s="17" t="str">
        <f t="shared" si="2"/>
        <v/>
      </c>
    </row>
    <row r="123" spans="1:5" x14ac:dyDescent="0.25">
      <c r="A123" s="1" t="s">
        <v>91</v>
      </c>
      <c r="B123" t="s">
        <v>92</v>
      </c>
      <c r="C123" t="s">
        <v>937</v>
      </c>
      <c r="D123" t="s">
        <v>1032</v>
      </c>
      <c r="E123" s="17" t="str">
        <f t="shared" si="2"/>
        <v/>
      </c>
    </row>
    <row r="124" spans="1:5" x14ac:dyDescent="0.25">
      <c r="A124" s="1" t="s">
        <v>180</v>
      </c>
      <c r="B124" t="s">
        <v>181</v>
      </c>
      <c r="C124" t="s">
        <v>1042</v>
      </c>
      <c r="D124" t="s">
        <v>973</v>
      </c>
      <c r="E124" s="17" t="str">
        <f t="shared" si="2"/>
        <v/>
      </c>
    </row>
    <row r="125" spans="1:5" x14ac:dyDescent="0.25">
      <c r="A125" s="1" t="s">
        <v>49</v>
      </c>
      <c r="B125" t="s">
        <v>50</v>
      </c>
      <c r="C125" t="s">
        <v>1042</v>
      </c>
      <c r="D125" t="s">
        <v>973</v>
      </c>
      <c r="E125" s="17" t="str">
        <f t="shared" si="2"/>
        <v/>
      </c>
    </row>
    <row r="126" spans="1:5" x14ac:dyDescent="0.25">
      <c r="A126" s="1" t="s">
        <v>125</v>
      </c>
      <c r="B126" t="s">
        <v>126</v>
      </c>
      <c r="C126" t="s">
        <v>1042</v>
      </c>
      <c r="D126" t="s">
        <v>973</v>
      </c>
      <c r="E126" s="17" t="str">
        <f t="shared" si="2"/>
        <v/>
      </c>
    </row>
    <row r="127" spans="1:5" x14ac:dyDescent="0.25">
      <c r="A127" s="1" t="s">
        <v>175</v>
      </c>
      <c r="B127" t="s">
        <v>176</v>
      </c>
      <c r="C127" t="s">
        <v>1042</v>
      </c>
      <c r="D127" t="s">
        <v>973</v>
      </c>
      <c r="E127" s="17" t="str">
        <f t="shared" si="2"/>
        <v/>
      </c>
    </row>
    <row r="128" spans="1:5" x14ac:dyDescent="0.25">
      <c r="A128" s="1" t="s">
        <v>314</v>
      </c>
      <c r="B128" t="s">
        <v>1014</v>
      </c>
      <c r="C128" t="s">
        <v>1042</v>
      </c>
      <c r="D128" t="s">
        <v>971</v>
      </c>
      <c r="E128" s="17" t="str">
        <f t="shared" si="2"/>
        <v/>
      </c>
    </row>
    <row r="129" spans="1:5" x14ac:dyDescent="0.25">
      <c r="A129" s="1" t="s">
        <v>166</v>
      </c>
      <c r="B129" t="s">
        <v>358</v>
      </c>
      <c r="C129" t="s">
        <v>1042</v>
      </c>
      <c r="D129" t="s">
        <v>973</v>
      </c>
      <c r="E129" s="17" t="str">
        <f t="shared" si="2"/>
        <v/>
      </c>
    </row>
    <row r="130" spans="1:5" x14ac:dyDescent="0.25">
      <c r="A130" s="1" t="s">
        <v>321</v>
      </c>
      <c r="B130" s="1" t="s">
        <v>322</v>
      </c>
      <c r="C130" t="s">
        <v>1042</v>
      </c>
      <c r="D130" t="s">
        <v>973</v>
      </c>
      <c r="E130" s="17" t="str">
        <f t="shared" si="2"/>
        <v/>
      </c>
    </row>
    <row r="131" spans="1:5" x14ac:dyDescent="0.25">
      <c r="A131" s="1" t="s">
        <v>1015</v>
      </c>
      <c r="B131" s="1" t="s">
        <v>1016</v>
      </c>
      <c r="C131" t="s">
        <v>1042</v>
      </c>
      <c r="D131" t="s">
        <v>971</v>
      </c>
      <c r="E131" s="17" t="str">
        <f t="shared" si="2"/>
        <v/>
      </c>
    </row>
    <row r="132" spans="1:5" x14ac:dyDescent="0.25">
      <c r="A132" s="1" t="s">
        <v>128</v>
      </c>
      <c r="B132" t="s">
        <v>129</v>
      </c>
      <c r="C132" t="s">
        <v>1042</v>
      </c>
      <c r="D132" t="s">
        <v>973</v>
      </c>
      <c r="E132" s="17" t="str">
        <f t="shared" si="2"/>
        <v/>
      </c>
    </row>
    <row r="133" spans="1:5" x14ac:dyDescent="0.25">
      <c r="A133" s="1" t="s">
        <v>168</v>
      </c>
      <c r="B133" t="s">
        <v>359</v>
      </c>
      <c r="C133" t="s">
        <v>1042</v>
      </c>
      <c r="D133" t="s">
        <v>973</v>
      </c>
      <c r="E133" s="17" t="str">
        <f t="shared" si="2"/>
        <v/>
      </c>
    </row>
    <row r="134" spans="1:5" x14ac:dyDescent="0.25">
      <c r="A134" s="1" t="s">
        <v>192</v>
      </c>
      <c r="B134" t="s">
        <v>193</v>
      </c>
      <c r="C134" t="s">
        <v>1042</v>
      </c>
      <c r="D134" t="s">
        <v>973</v>
      </c>
      <c r="E134" s="17" t="str">
        <f t="shared" si="2"/>
        <v/>
      </c>
    </row>
    <row r="135" spans="1:5" x14ac:dyDescent="0.25">
      <c r="A135" s="1" t="s">
        <v>290</v>
      </c>
      <c r="B135" s="1" t="s">
        <v>291</v>
      </c>
      <c r="C135" t="s">
        <v>1042</v>
      </c>
      <c r="D135" t="s">
        <v>973</v>
      </c>
      <c r="E135" s="17" t="str">
        <f t="shared" si="2"/>
        <v/>
      </c>
    </row>
    <row r="136" spans="1:5" x14ac:dyDescent="0.25">
      <c r="A136" s="1" t="s">
        <v>111</v>
      </c>
      <c r="B136" s="1" t="s">
        <v>112</v>
      </c>
      <c r="C136" t="s">
        <v>937</v>
      </c>
      <c r="D136" t="s">
        <v>1017</v>
      </c>
      <c r="E136" s="17" t="str">
        <f t="shared" si="2"/>
        <v/>
      </c>
    </row>
    <row r="137" spans="1:5" x14ac:dyDescent="0.25">
      <c r="A137" s="1" t="s">
        <v>200</v>
      </c>
      <c r="B137" s="1" t="s">
        <v>201</v>
      </c>
      <c r="C137" t="s">
        <v>1042</v>
      </c>
      <c r="D137" t="s">
        <v>973</v>
      </c>
      <c r="E137" s="17" t="str">
        <f t="shared" si="2"/>
        <v/>
      </c>
    </row>
    <row r="138" spans="1:5" x14ac:dyDescent="0.25">
      <c r="A138" s="1" t="s">
        <v>165</v>
      </c>
      <c r="B138" t="s">
        <v>360</v>
      </c>
      <c r="C138" t="s">
        <v>1042</v>
      </c>
      <c r="D138" t="s">
        <v>973</v>
      </c>
      <c r="E138" s="17" t="str">
        <f t="shared" si="2"/>
        <v/>
      </c>
    </row>
    <row r="139" spans="1:5" x14ac:dyDescent="0.25">
      <c r="A139" s="1" t="s">
        <v>27</v>
      </c>
      <c r="B139" s="1" t="s">
        <v>28</v>
      </c>
      <c r="C139" t="s">
        <v>1042</v>
      </c>
      <c r="D139" t="s">
        <v>1006</v>
      </c>
      <c r="E139" s="17" t="str">
        <f t="shared" si="2"/>
        <v/>
      </c>
    </row>
    <row r="140" spans="1:5" x14ac:dyDescent="0.25">
      <c r="A140" s="1" t="s">
        <v>53</v>
      </c>
      <c r="B140" t="s">
        <v>54</v>
      </c>
      <c r="C140" t="s">
        <v>1042</v>
      </c>
      <c r="D140" t="s">
        <v>1006</v>
      </c>
      <c r="E140" s="17" t="str">
        <f t="shared" si="2"/>
        <v/>
      </c>
    </row>
    <row r="141" spans="1:5" x14ac:dyDescent="0.25">
      <c r="A141" s="1" t="s">
        <v>1231</v>
      </c>
      <c r="B141" t="s">
        <v>116</v>
      </c>
      <c r="C141" t="s">
        <v>1037</v>
      </c>
      <c r="D141" t="s">
        <v>941</v>
      </c>
      <c r="E141" s="17" t="str">
        <f t="shared" si="2"/>
        <v/>
      </c>
    </row>
    <row r="142" spans="1:5" x14ac:dyDescent="0.25">
      <c r="A142" s="1" t="s">
        <v>245</v>
      </c>
      <c r="B142" t="s">
        <v>246</v>
      </c>
      <c r="C142" t="s">
        <v>1042</v>
      </c>
      <c r="D142" t="s">
        <v>973</v>
      </c>
      <c r="E142" s="17" t="str">
        <f t="shared" si="2"/>
        <v/>
      </c>
    </row>
    <row r="143" spans="1:5" x14ac:dyDescent="0.25">
      <c r="A143" s="1" t="s">
        <v>350</v>
      </c>
      <c r="B143" s="1" t="s">
        <v>351</v>
      </c>
      <c r="C143" t="s">
        <v>1042</v>
      </c>
      <c r="D143" t="s">
        <v>973</v>
      </c>
      <c r="E143" s="17" t="str">
        <f t="shared" si="2"/>
        <v/>
      </c>
    </row>
    <row r="144" spans="1:5" x14ac:dyDescent="0.25">
      <c r="A144" s="1" t="s">
        <v>172</v>
      </c>
      <c r="B144" t="s">
        <v>173</v>
      </c>
      <c r="C144" t="s">
        <v>1042</v>
      </c>
      <c r="D144" t="s">
        <v>973</v>
      </c>
      <c r="E144" s="17" t="str">
        <f t="shared" si="2"/>
        <v/>
      </c>
    </row>
    <row r="145" spans="1:5" x14ac:dyDescent="0.25">
      <c r="A145" s="1" t="s">
        <v>251</v>
      </c>
      <c r="B145" t="s">
        <v>252</v>
      </c>
      <c r="C145" t="s">
        <v>1042</v>
      </c>
      <c r="D145" t="s">
        <v>973</v>
      </c>
      <c r="E145" s="17" t="str">
        <f t="shared" si="2"/>
        <v/>
      </c>
    </row>
    <row r="146" spans="1:5" x14ac:dyDescent="0.25">
      <c r="A146" s="1" t="s">
        <v>211</v>
      </c>
      <c r="B146" t="s">
        <v>1018</v>
      </c>
      <c r="C146" t="s">
        <v>1042</v>
      </c>
      <c r="D146" t="s">
        <v>971</v>
      </c>
      <c r="E146" s="17" t="str">
        <f t="shared" si="2"/>
        <v/>
      </c>
    </row>
    <row r="147" spans="1:5" x14ac:dyDescent="0.25">
      <c r="A147" s="1" t="s">
        <v>230</v>
      </c>
      <c r="B147" t="s">
        <v>1019</v>
      </c>
      <c r="C147" t="s">
        <v>1042</v>
      </c>
      <c r="D147" t="s">
        <v>971</v>
      </c>
      <c r="E147" s="17" t="str">
        <f t="shared" si="2"/>
        <v/>
      </c>
    </row>
    <row r="148" spans="1:5" x14ac:dyDescent="0.25">
      <c r="A148" s="1" t="s">
        <v>148</v>
      </c>
      <c r="B148" s="1" t="s">
        <v>149</v>
      </c>
      <c r="C148" t="s">
        <v>1042</v>
      </c>
      <c r="D148" t="s">
        <v>973</v>
      </c>
      <c r="E148" s="17" t="str">
        <f t="shared" si="2"/>
        <v/>
      </c>
    </row>
    <row r="149" spans="1:5" x14ac:dyDescent="0.25">
      <c r="A149" s="1" t="s">
        <v>150</v>
      </c>
      <c r="B149" t="s">
        <v>1020</v>
      </c>
      <c r="C149" t="s">
        <v>1042</v>
      </c>
      <c r="D149" t="s">
        <v>971</v>
      </c>
      <c r="E149" s="17" t="str">
        <f t="shared" si="2"/>
        <v/>
      </c>
    </row>
    <row r="150" spans="1:5" x14ac:dyDescent="0.25">
      <c r="A150" s="1" t="s">
        <v>170</v>
      </c>
      <c r="B150" s="1" t="s">
        <v>171</v>
      </c>
      <c r="C150" t="s">
        <v>1042</v>
      </c>
      <c r="D150" t="s">
        <v>973</v>
      </c>
      <c r="E150" s="17" t="str">
        <f t="shared" si="2"/>
        <v/>
      </c>
    </row>
    <row r="151" spans="1:5" x14ac:dyDescent="0.25">
      <c r="A151" s="1" t="s">
        <v>238</v>
      </c>
      <c r="B151" s="1" t="s">
        <v>239</v>
      </c>
      <c r="C151" t="s">
        <v>1042</v>
      </c>
      <c r="D151" t="s">
        <v>973</v>
      </c>
      <c r="E151" s="17" t="str">
        <f t="shared" si="2"/>
        <v/>
      </c>
    </row>
    <row r="152" spans="1:5" x14ac:dyDescent="0.25">
      <c r="A152" s="1" t="s">
        <v>319</v>
      </c>
      <c r="B152" s="1" t="s">
        <v>320</v>
      </c>
      <c r="C152" t="s">
        <v>1042</v>
      </c>
      <c r="D152" t="s">
        <v>973</v>
      </c>
      <c r="E152" s="17" t="str">
        <f t="shared" si="2"/>
        <v/>
      </c>
    </row>
    <row r="153" spans="1:5" x14ac:dyDescent="0.25">
      <c r="A153" s="1" t="s">
        <v>1126</v>
      </c>
      <c r="B153" t="s">
        <v>220</v>
      </c>
      <c r="C153" t="s">
        <v>1042</v>
      </c>
      <c r="D153" t="s">
        <v>973</v>
      </c>
      <c r="E153" s="17" t="str">
        <f t="shared" si="2"/>
        <v/>
      </c>
    </row>
    <row r="154" spans="1:5" x14ac:dyDescent="0.25">
      <c r="A154" s="1" t="s">
        <v>90</v>
      </c>
      <c r="B154" t="s">
        <v>571</v>
      </c>
      <c r="C154" t="s">
        <v>1042</v>
      </c>
      <c r="D154" t="s">
        <v>971</v>
      </c>
      <c r="E154" s="17" t="str">
        <f t="shared" si="2"/>
        <v/>
      </c>
    </row>
    <row r="155" spans="1:5" x14ac:dyDescent="0.25">
      <c r="A155" s="1" t="s">
        <v>9</v>
      </c>
      <c r="B155" t="s">
        <v>10</v>
      </c>
      <c r="C155" t="s">
        <v>1042</v>
      </c>
      <c r="D155" t="s">
        <v>973</v>
      </c>
      <c r="E155" s="17" t="str">
        <f t="shared" si="2"/>
        <v/>
      </c>
    </row>
    <row r="156" spans="1:5" x14ac:dyDescent="0.25">
      <c r="A156" s="1" t="s">
        <v>55</v>
      </c>
      <c r="B156" t="s">
        <v>56</v>
      </c>
      <c r="C156" t="s">
        <v>1042</v>
      </c>
      <c r="D156" t="s">
        <v>973</v>
      </c>
      <c r="E156" s="17" t="str">
        <f t="shared" si="2"/>
        <v/>
      </c>
    </row>
    <row r="157" spans="1:5" x14ac:dyDescent="0.25">
      <c r="A157" s="1" t="s">
        <v>37</v>
      </c>
      <c r="B157" t="s">
        <v>1021</v>
      </c>
      <c r="C157" t="s">
        <v>1042</v>
      </c>
      <c r="D157" t="s">
        <v>971</v>
      </c>
      <c r="E157" s="17" t="str">
        <f t="shared" si="2"/>
        <v/>
      </c>
    </row>
    <row r="158" spans="1:5" x14ac:dyDescent="0.25">
      <c r="A158" s="1" t="s">
        <v>71</v>
      </c>
      <c r="B158" t="s">
        <v>1022</v>
      </c>
      <c r="C158" t="s">
        <v>1042</v>
      </c>
      <c r="D158" t="s">
        <v>971</v>
      </c>
      <c r="E158" s="17" t="str">
        <f t="shared" si="2"/>
        <v/>
      </c>
    </row>
    <row r="159" spans="1:5" x14ac:dyDescent="0.25">
      <c r="A159" s="1" t="s">
        <v>198</v>
      </c>
      <c r="B159" t="s">
        <v>199</v>
      </c>
      <c r="C159" t="s">
        <v>1037</v>
      </c>
      <c r="D159" t="s">
        <v>941</v>
      </c>
      <c r="E159" s="17" t="str">
        <f t="shared" si="2"/>
        <v/>
      </c>
    </row>
    <row r="160" spans="1:5" x14ac:dyDescent="0.25">
      <c r="A160" s="1" t="s">
        <v>328</v>
      </c>
      <c r="B160" t="s">
        <v>329</v>
      </c>
      <c r="C160" t="s">
        <v>1042</v>
      </c>
      <c r="D160" t="s">
        <v>973</v>
      </c>
      <c r="E160" s="17" t="str">
        <f t="shared" si="2"/>
        <v/>
      </c>
    </row>
    <row r="161" spans="1:5" x14ac:dyDescent="0.25">
      <c r="A161" s="1" t="s">
        <v>330</v>
      </c>
      <c r="B161" t="s">
        <v>331</v>
      </c>
      <c r="C161" t="s">
        <v>1042</v>
      </c>
      <c r="D161" t="s">
        <v>973</v>
      </c>
      <c r="E161" s="17" t="str">
        <f t="shared" si="2"/>
        <v/>
      </c>
    </row>
    <row r="162" spans="1:5" x14ac:dyDescent="0.25">
      <c r="A162" s="1" t="s">
        <v>104</v>
      </c>
      <c r="B162" t="s">
        <v>105</v>
      </c>
      <c r="C162" t="s">
        <v>1042</v>
      </c>
      <c r="D162" t="s">
        <v>973</v>
      </c>
      <c r="E162" s="17" t="str">
        <f t="shared" si="2"/>
        <v/>
      </c>
    </row>
    <row r="163" spans="1:5" x14ac:dyDescent="0.25">
      <c r="A163" s="1" t="s">
        <v>159</v>
      </c>
      <c r="B163" t="s">
        <v>160</v>
      </c>
      <c r="C163" t="s">
        <v>1042</v>
      </c>
      <c r="D163" t="s">
        <v>973</v>
      </c>
      <c r="E163" s="17" t="str">
        <f t="shared" si="2"/>
        <v/>
      </c>
    </row>
    <row r="164" spans="1:5" x14ac:dyDescent="0.25">
      <c r="A164" s="1" t="s">
        <v>161</v>
      </c>
      <c r="B164" s="1" t="s">
        <v>162</v>
      </c>
      <c r="C164" t="s">
        <v>1042</v>
      </c>
      <c r="D164" t="s">
        <v>973</v>
      </c>
      <c r="E164" s="17" t="str">
        <f t="shared" si="2"/>
        <v/>
      </c>
    </row>
    <row r="165" spans="1:5" x14ac:dyDescent="0.25">
      <c r="A165" s="1" t="s">
        <v>134</v>
      </c>
      <c r="B165" s="1" t="s">
        <v>361</v>
      </c>
      <c r="C165" t="s">
        <v>1042</v>
      </c>
      <c r="D165" t="s">
        <v>973</v>
      </c>
      <c r="E165" s="17" t="str">
        <f t="shared" si="2"/>
        <v/>
      </c>
    </row>
    <row r="166" spans="1:5" x14ac:dyDescent="0.25">
      <c r="A166" s="1" t="s">
        <v>133</v>
      </c>
      <c r="B166" t="s">
        <v>362</v>
      </c>
      <c r="C166" t="s">
        <v>1042</v>
      </c>
      <c r="D166" t="s">
        <v>973</v>
      </c>
      <c r="E166" s="17" t="str">
        <f t="shared" si="2"/>
        <v/>
      </c>
    </row>
    <row r="167" spans="1:5" x14ac:dyDescent="0.25">
      <c r="A167" s="1" t="s">
        <v>100</v>
      </c>
      <c r="B167" t="s">
        <v>101</v>
      </c>
      <c r="C167" t="s">
        <v>1042</v>
      </c>
      <c r="D167" t="s">
        <v>973</v>
      </c>
      <c r="E167" s="17" t="str">
        <f t="shared" si="2"/>
        <v/>
      </c>
    </row>
    <row r="168" spans="1:5" x14ac:dyDescent="0.25">
      <c r="A168" s="1" t="s">
        <v>227</v>
      </c>
      <c r="B168" t="s">
        <v>1023</v>
      </c>
      <c r="C168" t="s">
        <v>1042</v>
      </c>
      <c r="D168" t="s">
        <v>971</v>
      </c>
      <c r="E168" s="17" t="str">
        <f t="shared" si="2"/>
        <v/>
      </c>
    </row>
    <row r="169" spans="1:5" x14ac:dyDescent="0.25">
      <c r="A169" s="1" t="s">
        <v>224</v>
      </c>
      <c r="B169" t="s">
        <v>1024</v>
      </c>
      <c r="C169" t="s">
        <v>1042</v>
      </c>
      <c r="D169" t="s">
        <v>971</v>
      </c>
      <c r="E169" s="17" t="str">
        <f t="shared" si="2"/>
        <v/>
      </c>
    </row>
    <row r="170" spans="1:5" x14ac:dyDescent="0.25">
      <c r="A170" s="1" t="s">
        <v>243</v>
      </c>
      <c r="B170" t="s">
        <v>244</v>
      </c>
      <c r="C170" t="s">
        <v>1037</v>
      </c>
      <c r="D170" t="s">
        <v>941</v>
      </c>
      <c r="E170" s="17" t="str">
        <f t="shared" si="2"/>
        <v/>
      </c>
    </row>
    <row r="171" spans="1:5" x14ac:dyDescent="0.25">
      <c r="A171" s="1" t="s">
        <v>217</v>
      </c>
      <c r="B171" t="s">
        <v>218</v>
      </c>
      <c r="C171" t="s">
        <v>1042</v>
      </c>
      <c r="D171" t="s">
        <v>973</v>
      </c>
      <c r="E171" s="17" t="str">
        <f t="shared" si="2"/>
        <v/>
      </c>
    </row>
    <row r="172" spans="1:5" x14ac:dyDescent="0.25">
      <c r="A172" s="1" t="s">
        <v>42</v>
      </c>
      <c r="B172" s="1" t="s">
        <v>1025</v>
      </c>
      <c r="C172" t="s">
        <v>1042</v>
      </c>
      <c r="D172" t="s">
        <v>971</v>
      </c>
      <c r="E172" s="17" t="str">
        <f t="shared" si="2"/>
        <v/>
      </c>
    </row>
    <row r="173" spans="1:5" x14ac:dyDescent="0.25">
      <c r="A173" s="1" t="s">
        <v>326</v>
      </c>
      <c r="B173" t="s">
        <v>327</v>
      </c>
      <c r="C173" t="s">
        <v>1042</v>
      </c>
      <c r="D173" t="s">
        <v>973</v>
      </c>
      <c r="E173" s="17" t="str">
        <f t="shared" si="2"/>
        <v/>
      </c>
    </row>
    <row r="174" spans="1:5" x14ac:dyDescent="0.25">
      <c r="A174" s="1" t="s">
        <v>255</v>
      </c>
      <c r="B174" t="s">
        <v>256</v>
      </c>
      <c r="C174" t="s">
        <v>1042</v>
      </c>
      <c r="D174" t="s">
        <v>973</v>
      </c>
      <c r="E174" s="17" t="str">
        <f t="shared" si="2"/>
        <v/>
      </c>
    </row>
    <row r="175" spans="1:5" x14ac:dyDescent="0.25">
      <c r="A175" s="1" t="s">
        <v>257</v>
      </c>
      <c r="B175" t="s">
        <v>1026</v>
      </c>
      <c r="C175" t="s">
        <v>1042</v>
      </c>
      <c r="D175" t="s">
        <v>971</v>
      </c>
      <c r="E175" s="17" t="str">
        <f t="shared" si="2"/>
        <v/>
      </c>
    </row>
    <row r="176" spans="1:5" x14ac:dyDescent="0.25">
      <c r="A176" s="1" t="s">
        <v>345</v>
      </c>
      <c r="B176" s="1" t="s">
        <v>346</v>
      </c>
      <c r="C176" t="s">
        <v>1042</v>
      </c>
      <c r="D176" t="s">
        <v>973</v>
      </c>
      <c r="E176" s="17" t="str">
        <f t="shared" si="2"/>
        <v/>
      </c>
    </row>
    <row r="177" spans="1:5" x14ac:dyDescent="0.25">
      <c r="A177" s="1" t="s">
        <v>163</v>
      </c>
      <c r="B177" t="s">
        <v>363</v>
      </c>
      <c r="C177" t="s">
        <v>1042</v>
      </c>
      <c r="D177" t="s">
        <v>1006</v>
      </c>
      <c r="E177" s="17" t="str">
        <f t="shared" si="2"/>
        <v/>
      </c>
    </row>
    <row r="178" spans="1:5" x14ac:dyDescent="0.25">
      <c r="A178" s="1" t="s">
        <v>6</v>
      </c>
      <c r="B178" s="1" t="s">
        <v>7</v>
      </c>
      <c r="C178" t="s">
        <v>1042</v>
      </c>
      <c r="D178" t="s">
        <v>1006</v>
      </c>
      <c r="E178" s="17" t="str">
        <f t="shared" si="2"/>
        <v/>
      </c>
    </row>
    <row r="179" spans="1:5" x14ac:dyDescent="0.25">
      <c r="A179" s="1" t="s">
        <v>8</v>
      </c>
      <c r="B179" t="s">
        <v>364</v>
      </c>
      <c r="C179" t="s">
        <v>1042</v>
      </c>
      <c r="D179" t="s">
        <v>1006</v>
      </c>
      <c r="E179" s="17" t="str">
        <f t="shared" ref="E179:E242" si="3">IF(G179="","",HYPERLINK(G179,"Link"))</f>
        <v/>
      </c>
    </row>
    <row r="180" spans="1:5" x14ac:dyDescent="0.25">
      <c r="A180" s="1" t="s">
        <v>25</v>
      </c>
      <c r="B180" t="s">
        <v>26</v>
      </c>
      <c r="C180" t="s">
        <v>1042</v>
      </c>
      <c r="D180" t="s">
        <v>973</v>
      </c>
      <c r="E180" s="17" t="str">
        <f t="shared" si="3"/>
        <v/>
      </c>
    </row>
    <row r="181" spans="1:5" x14ac:dyDescent="0.25">
      <c r="A181" s="1" t="s">
        <v>280</v>
      </c>
      <c r="B181" t="s">
        <v>1027</v>
      </c>
      <c r="C181" t="s">
        <v>1042</v>
      </c>
      <c r="D181" t="s">
        <v>971</v>
      </c>
      <c r="E181" s="17" t="str">
        <f t="shared" si="3"/>
        <v/>
      </c>
    </row>
    <row r="182" spans="1:5" x14ac:dyDescent="0.25">
      <c r="A182" s="1" t="s">
        <v>88</v>
      </c>
      <c r="B182" s="1" t="s">
        <v>89</v>
      </c>
      <c r="C182" t="s">
        <v>1042</v>
      </c>
      <c r="D182" t="s">
        <v>973</v>
      </c>
      <c r="E182" s="17" t="str">
        <f t="shared" si="3"/>
        <v/>
      </c>
    </row>
    <row r="183" spans="1:5" x14ac:dyDescent="0.25">
      <c r="A183" s="1" t="s">
        <v>167</v>
      </c>
      <c r="B183" t="s">
        <v>365</v>
      </c>
      <c r="C183" t="s">
        <v>1042</v>
      </c>
      <c r="D183" t="s">
        <v>973</v>
      </c>
      <c r="E183" s="17" t="str">
        <f t="shared" si="3"/>
        <v/>
      </c>
    </row>
    <row r="184" spans="1:5" x14ac:dyDescent="0.25">
      <c r="A184" s="1" t="s">
        <v>107</v>
      </c>
      <c r="B184" s="1" t="s">
        <v>108</v>
      </c>
      <c r="C184" t="s">
        <v>1042</v>
      </c>
      <c r="D184" t="s">
        <v>973</v>
      </c>
      <c r="E184" s="17" t="str">
        <f t="shared" si="3"/>
        <v/>
      </c>
    </row>
    <row r="185" spans="1:5" x14ac:dyDescent="0.25">
      <c r="A185" s="1" t="s">
        <v>190</v>
      </c>
      <c r="B185" t="s">
        <v>191</v>
      </c>
      <c r="C185" t="s">
        <v>1042</v>
      </c>
      <c r="D185" t="s">
        <v>973</v>
      </c>
      <c r="E185" s="17" t="str">
        <f t="shared" si="3"/>
        <v/>
      </c>
    </row>
    <row r="186" spans="1:5" x14ac:dyDescent="0.25">
      <c r="A186" s="1" t="s">
        <v>33</v>
      </c>
      <c r="B186" s="1" t="s">
        <v>1028</v>
      </c>
      <c r="C186" t="s">
        <v>1042</v>
      </c>
      <c r="D186" t="s">
        <v>971</v>
      </c>
      <c r="E186" s="17" t="str">
        <f t="shared" si="3"/>
        <v/>
      </c>
    </row>
    <row r="187" spans="1:5" x14ac:dyDescent="0.25">
      <c r="A187" s="1" t="s">
        <v>85</v>
      </c>
      <c r="B187" s="1" t="s">
        <v>1029</v>
      </c>
      <c r="C187" t="s">
        <v>1042</v>
      </c>
      <c r="D187" t="s">
        <v>971</v>
      </c>
      <c r="E187" s="17" t="str">
        <f t="shared" si="3"/>
        <v/>
      </c>
    </row>
    <row r="188" spans="1:5" x14ac:dyDescent="0.25">
      <c r="A188" s="1" t="s">
        <v>131</v>
      </c>
      <c r="B188" t="s">
        <v>132</v>
      </c>
      <c r="C188" t="s">
        <v>1042</v>
      </c>
      <c r="D188" t="s">
        <v>973</v>
      </c>
      <c r="E188" s="17" t="str">
        <f t="shared" si="3"/>
        <v/>
      </c>
    </row>
    <row r="189" spans="1:5" x14ac:dyDescent="0.25">
      <c r="A189" s="1" t="s">
        <v>233</v>
      </c>
      <c r="B189" s="1" t="s">
        <v>1030</v>
      </c>
      <c r="C189" t="s">
        <v>1042</v>
      </c>
      <c r="D189" t="s">
        <v>971</v>
      </c>
      <c r="E189" s="17" t="str">
        <f t="shared" si="3"/>
        <v/>
      </c>
    </row>
    <row r="190" spans="1:5" x14ac:dyDescent="0.25">
      <c r="A190" s="1" t="s">
        <v>144</v>
      </c>
      <c r="B190" s="1" t="s">
        <v>145</v>
      </c>
      <c r="C190" t="s">
        <v>1042</v>
      </c>
      <c r="D190" t="s">
        <v>973</v>
      </c>
      <c r="E190" s="17" t="str">
        <f t="shared" si="3"/>
        <v/>
      </c>
    </row>
    <row r="191" spans="1:5" x14ac:dyDescent="0.25">
      <c r="A191" s="1" t="s">
        <v>1254</v>
      </c>
      <c r="B191" s="1" t="s">
        <v>23</v>
      </c>
      <c r="C191" t="s">
        <v>1037</v>
      </c>
      <c r="D191" t="s">
        <v>941</v>
      </c>
      <c r="E191" s="17" t="str">
        <f t="shared" si="3"/>
        <v/>
      </c>
    </row>
    <row r="192" spans="1:5" x14ac:dyDescent="0.25">
      <c r="A192" s="1" t="s">
        <v>142</v>
      </c>
      <c r="B192" t="s">
        <v>143</v>
      </c>
      <c r="C192" t="s">
        <v>1042</v>
      </c>
      <c r="D192" t="s">
        <v>1031</v>
      </c>
      <c r="E192" s="17" t="str">
        <f t="shared" si="3"/>
        <v/>
      </c>
    </row>
    <row r="193" spans="1:5" x14ac:dyDescent="0.25">
      <c r="A193" s="1" t="s">
        <v>177</v>
      </c>
      <c r="B193" t="s">
        <v>178</v>
      </c>
      <c r="C193" t="s">
        <v>1037</v>
      </c>
      <c r="D193" t="s">
        <v>941</v>
      </c>
      <c r="E193" s="17" t="str">
        <f t="shared" si="3"/>
        <v/>
      </c>
    </row>
    <row r="194" spans="1:5" x14ac:dyDescent="0.25">
      <c r="A194" s="1" t="s">
        <v>194</v>
      </c>
      <c r="B194" t="s">
        <v>195</v>
      </c>
      <c r="C194" t="s">
        <v>1042</v>
      </c>
      <c r="D194" t="s">
        <v>973</v>
      </c>
      <c r="E194" s="17" t="str">
        <f t="shared" si="3"/>
        <v/>
      </c>
    </row>
    <row r="195" spans="1:5" x14ac:dyDescent="0.25">
      <c r="A195" s="1" t="s">
        <v>196</v>
      </c>
      <c r="B195" t="s">
        <v>197</v>
      </c>
      <c r="C195" t="s">
        <v>1042</v>
      </c>
      <c r="D195" t="s">
        <v>973</v>
      </c>
      <c r="E195" s="17" t="str">
        <f t="shared" si="3"/>
        <v/>
      </c>
    </row>
    <row r="196" spans="1:5" x14ac:dyDescent="0.25">
      <c r="A196" s="1" t="s">
        <v>0</v>
      </c>
      <c r="B196" t="s">
        <v>1</v>
      </c>
      <c r="C196" t="s">
        <v>1042</v>
      </c>
      <c r="D196" t="s">
        <v>973</v>
      </c>
      <c r="E196" s="17" t="str">
        <f t="shared" si="3"/>
        <v/>
      </c>
    </row>
    <row r="197" spans="1:5" x14ac:dyDescent="0.25">
      <c r="A197" s="1" t="s">
        <v>97</v>
      </c>
      <c r="B197" s="1" t="s">
        <v>98</v>
      </c>
      <c r="C197" t="s">
        <v>1042</v>
      </c>
      <c r="D197" t="s">
        <v>973</v>
      </c>
      <c r="E197" s="17" t="str">
        <f t="shared" si="3"/>
        <v/>
      </c>
    </row>
    <row r="198" spans="1:5" x14ac:dyDescent="0.25">
      <c r="A198" s="1" t="s">
        <v>310</v>
      </c>
      <c r="B198" t="s">
        <v>311</v>
      </c>
      <c r="C198" t="s">
        <v>1037</v>
      </c>
      <c r="D198" t="s">
        <v>941</v>
      </c>
      <c r="E198" s="17" t="str">
        <f t="shared" si="3"/>
        <v/>
      </c>
    </row>
    <row r="199" spans="1:5" x14ac:dyDescent="0.25">
      <c r="A199" s="1" t="s">
        <v>277</v>
      </c>
      <c r="B199" s="1" t="s">
        <v>278</v>
      </c>
      <c r="C199" t="s">
        <v>937</v>
      </c>
      <c r="D199" t="s">
        <v>1032</v>
      </c>
      <c r="E199" s="17" t="str">
        <f t="shared" si="3"/>
        <v/>
      </c>
    </row>
    <row r="200" spans="1:5" x14ac:dyDescent="0.25">
      <c r="A200" s="1" t="s">
        <v>31</v>
      </c>
      <c r="B200" s="1" t="s">
        <v>32</v>
      </c>
      <c r="C200" t="s">
        <v>1042</v>
      </c>
      <c r="D200" t="s">
        <v>1006</v>
      </c>
      <c r="E200" s="17" t="str">
        <f t="shared" si="3"/>
        <v/>
      </c>
    </row>
    <row r="201" spans="1:5" x14ac:dyDescent="0.25">
      <c r="A201" s="1" t="s">
        <v>16</v>
      </c>
      <c r="B201" t="s">
        <v>17</v>
      </c>
      <c r="C201" t="s">
        <v>1042</v>
      </c>
      <c r="D201" t="s">
        <v>973</v>
      </c>
      <c r="E201" s="17" t="str">
        <f t="shared" si="3"/>
        <v/>
      </c>
    </row>
    <row r="202" spans="1:5" x14ac:dyDescent="0.25">
      <c r="A202" s="1" t="s">
        <v>11</v>
      </c>
      <c r="B202" t="s">
        <v>12</v>
      </c>
      <c r="C202" t="s">
        <v>1042</v>
      </c>
      <c r="D202" t="s">
        <v>973</v>
      </c>
      <c r="E202" s="17" t="str">
        <f t="shared" si="3"/>
        <v/>
      </c>
    </row>
    <row r="203" spans="1:5" x14ac:dyDescent="0.25">
      <c r="A203" s="1" t="s">
        <v>38</v>
      </c>
      <c r="B203" t="s">
        <v>39</v>
      </c>
      <c r="C203" t="s">
        <v>1042</v>
      </c>
      <c r="D203" t="s">
        <v>973</v>
      </c>
      <c r="E203" s="17" t="str">
        <f t="shared" si="3"/>
        <v/>
      </c>
    </row>
    <row r="204" spans="1:5" x14ac:dyDescent="0.25">
      <c r="A204" s="1" t="s">
        <v>343</v>
      </c>
      <c r="B204" t="s">
        <v>344</v>
      </c>
      <c r="C204" t="s">
        <v>1042</v>
      </c>
      <c r="D204" t="s">
        <v>973</v>
      </c>
      <c r="E204" s="17" t="str">
        <f t="shared" si="3"/>
        <v/>
      </c>
    </row>
    <row r="205" spans="1:5" x14ac:dyDescent="0.25">
      <c r="A205" s="1" t="s">
        <v>348</v>
      </c>
      <c r="B205" s="3" t="s">
        <v>349</v>
      </c>
      <c r="C205" t="s">
        <v>1042</v>
      </c>
      <c r="D205" t="s">
        <v>973</v>
      </c>
      <c r="E205" s="17" t="str">
        <f t="shared" si="3"/>
        <v/>
      </c>
    </row>
    <row r="206" spans="1:5" x14ac:dyDescent="0.25">
      <c r="A206" s="1" t="s">
        <v>21</v>
      </c>
      <c r="B206" t="s">
        <v>909</v>
      </c>
      <c r="C206" t="s">
        <v>1042</v>
      </c>
      <c r="D206" t="s">
        <v>971</v>
      </c>
      <c r="E206" s="17" t="str">
        <f t="shared" si="3"/>
        <v/>
      </c>
    </row>
    <row r="207" spans="1:5" x14ac:dyDescent="0.25">
      <c r="A207" s="1" t="s">
        <v>315</v>
      </c>
      <c r="B207" t="s">
        <v>316</v>
      </c>
      <c r="C207" t="s">
        <v>1042</v>
      </c>
      <c r="D207" t="s">
        <v>973</v>
      </c>
      <c r="E207" s="17" t="str">
        <f t="shared" si="3"/>
        <v/>
      </c>
    </row>
    <row r="208" spans="1:5" x14ac:dyDescent="0.25">
      <c r="A208" s="1" t="s">
        <v>219</v>
      </c>
      <c r="B208" t="s">
        <v>1033</v>
      </c>
      <c r="C208" t="s">
        <v>1042</v>
      </c>
      <c r="D208" t="s">
        <v>971</v>
      </c>
      <c r="E208" s="17" t="str">
        <f t="shared" si="3"/>
        <v/>
      </c>
    </row>
    <row r="209" spans="1:5" x14ac:dyDescent="0.25">
      <c r="A209" s="1" t="s">
        <v>272</v>
      </c>
      <c r="B209" s="1" t="s">
        <v>273</v>
      </c>
      <c r="C209" t="s">
        <v>1042</v>
      </c>
      <c r="D209" t="s">
        <v>971</v>
      </c>
      <c r="E209" s="17" t="str">
        <f t="shared" si="3"/>
        <v/>
      </c>
    </row>
    <row r="210" spans="1:5" x14ac:dyDescent="0.25">
      <c r="A210" s="1" t="s">
        <v>46</v>
      </c>
      <c r="B210" s="1" t="s">
        <v>47</v>
      </c>
      <c r="C210" t="s">
        <v>1042</v>
      </c>
      <c r="D210" t="s">
        <v>973</v>
      </c>
      <c r="E210" s="17" t="str">
        <f t="shared" si="3"/>
        <v/>
      </c>
    </row>
    <row r="211" spans="1:5" x14ac:dyDescent="0.25">
      <c r="A211" s="1" t="s">
        <v>202</v>
      </c>
      <c r="B211" t="s">
        <v>203</v>
      </c>
      <c r="C211" t="s">
        <v>1042</v>
      </c>
      <c r="D211" t="s">
        <v>973</v>
      </c>
      <c r="E211" s="17" t="str">
        <f t="shared" si="3"/>
        <v/>
      </c>
    </row>
    <row r="212" spans="1:5" x14ac:dyDescent="0.25">
      <c r="A212" s="1" t="s">
        <v>118</v>
      </c>
      <c r="B212" t="s">
        <v>119</v>
      </c>
      <c r="C212" t="s">
        <v>1042</v>
      </c>
      <c r="D212" t="s">
        <v>973</v>
      </c>
      <c r="E212" s="17" t="str">
        <f t="shared" si="3"/>
        <v/>
      </c>
    </row>
    <row r="213" spans="1:5" x14ac:dyDescent="0.25">
      <c r="A213" s="1" t="s">
        <v>249</v>
      </c>
      <c r="B213" t="s">
        <v>250</v>
      </c>
      <c r="C213" t="s">
        <v>1042</v>
      </c>
      <c r="D213" t="s">
        <v>973</v>
      </c>
      <c r="E213" s="17" t="str">
        <f t="shared" si="3"/>
        <v/>
      </c>
    </row>
    <row r="214" spans="1:5" x14ac:dyDescent="0.25">
      <c r="A214" s="1" t="s">
        <v>81</v>
      </c>
      <c r="B214" t="s">
        <v>82</v>
      </c>
      <c r="C214" t="s">
        <v>1042</v>
      </c>
      <c r="D214" t="s">
        <v>1006</v>
      </c>
      <c r="E214" s="17" t="str">
        <f t="shared" si="3"/>
        <v/>
      </c>
    </row>
    <row r="215" spans="1:5" x14ac:dyDescent="0.25">
      <c r="A215" s="1" t="s">
        <v>306</v>
      </c>
      <c r="B215" t="s">
        <v>307</v>
      </c>
      <c r="C215" t="s">
        <v>1042</v>
      </c>
      <c r="D215" t="s">
        <v>1006</v>
      </c>
      <c r="E215" s="17" t="str">
        <f t="shared" si="3"/>
        <v/>
      </c>
    </row>
    <row r="216" spans="1:5" x14ac:dyDescent="0.25">
      <c r="A216" s="1" t="s">
        <v>189</v>
      </c>
      <c r="B216" t="s">
        <v>354</v>
      </c>
      <c r="C216" t="s">
        <v>1042</v>
      </c>
      <c r="D216" t="s">
        <v>973</v>
      </c>
      <c r="E216" s="17" t="str">
        <f t="shared" si="3"/>
        <v/>
      </c>
    </row>
    <row r="217" spans="1:5" x14ac:dyDescent="0.25">
      <c r="A217" s="1" t="s">
        <v>253</v>
      </c>
      <c r="B217" t="s">
        <v>254</v>
      </c>
      <c r="C217" t="s">
        <v>1042</v>
      </c>
      <c r="D217" t="s">
        <v>973</v>
      </c>
      <c r="E217" s="17" t="str">
        <f t="shared" si="3"/>
        <v/>
      </c>
    </row>
    <row r="218" spans="1:5" x14ac:dyDescent="0.25">
      <c r="A218" s="1" t="s">
        <v>395</v>
      </c>
      <c r="B218" t="s">
        <v>63</v>
      </c>
      <c r="C218" t="s">
        <v>1042</v>
      </c>
      <c r="D218" t="s">
        <v>973</v>
      </c>
      <c r="E218" s="17" t="str">
        <f t="shared" si="3"/>
        <v/>
      </c>
    </row>
    <row r="219" spans="1:5" x14ac:dyDescent="0.25">
      <c r="A219" s="1" t="s">
        <v>64</v>
      </c>
      <c r="B219" t="s">
        <v>65</v>
      </c>
      <c r="C219" t="s">
        <v>1042</v>
      </c>
      <c r="D219" t="s">
        <v>973</v>
      </c>
      <c r="E219" s="17" t="str">
        <f t="shared" si="3"/>
        <v/>
      </c>
    </row>
    <row r="220" spans="1:5" x14ac:dyDescent="0.25">
      <c r="A220" s="1" t="s">
        <v>234</v>
      </c>
      <c r="B220" t="s">
        <v>235</v>
      </c>
      <c r="C220" t="s">
        <v>1042</v>
      </c>
      <c r="D220" t="s">
        <v>973</v>
      </c>
      <c r="E220" s="17" t="str">
        <f t="shared" si="3"/>
        <v/>
      </c>
    </row>
    <row r="221" spans="1:5" x14ac:dyDescent="0.25">
      <c r="A221" s="1" t="s">
        <v>228</v>
      </c>
      <c r="B221" s="1" t="s">
        <v>229</v>
      </c>
      <c r="C221" t="s">
        <v>1042</v>
      </c>
      <c r="D221" t="s">
        <v>973</v>
      </c>
      <c r="E221" s="17" t="str">
        <f t="shared" si="3"/>
        <v/>
      </c>
    </row>
    <row r="222" spans="1:5" x14ac:dyDescent="0.25">
      <c r="A222" s="1" t="s">
        <v>241</v>
      </c>
      <c r="B222" s="1" t="s">
        <v>242</v>
      </c>
      <c r="C222" t="s">
        <v>937</v>
      </c>
      <c r="D222" t="s">
        <v>1017</v>
      </c>
      <c r="E222" s="17" t="str">
        <f t="shared" si="3"/>
        <v/>
      </c>
    </row>
    <row r="223" spans="1:5" x14ac:dyDescent="0.25">
      <c r="A223" s="1" t="s">
        <v>72</v>
      </c>
      <c r="B223" t="s">
        <v>366</v>
      </c>
      <c r="C223" t="s">
        <v>1042</v>
      </c>
      <c r="D223" t="s">
        <v>774</v>
      </c>
      <c r="E223" s="17" t="str">
        <f t="shared" si="3"/>
        <v/>
      </c>
    </row>
    <row r="224" spans="1:5" x14ac:dyDescent="0.25">
      <c r="A224" s="1" t="s">
        <v>386</v>
      </c>
      <c r="B224" t="s">
        <v>488</v>
      </c>
      <c r="C224" t="s">
        <v>1042</v>
      </c>
      <c r="D224" t="s">
        <v>1034</v>
      </c>
      <c r="E224" s="17" t="str">
        <f t="shared" si="3"/>
        <v/>
      </c>
    </row>
    <row r="225" spans="1:7" x14ac:dyDescent="0.25">
      <c r="A225" s="1" t="s">
        <v>62</v>
      </c>
      <c r="B225" t="s">
        <v>367</v>
      </c>
      <c r="C225" t="s">
        <v>1042</v>
      </c>
      <c r="D225" t="s">
        <v>774</v>
      </c>
      <c r="E225" s="17" t="str">
        <f t="shared" si="3"/>
        <v/>
      </c>
    </row>
    <row r="226" spans="1:7" x14ac:dyDescent="0.25">
      <c r="A226" s="1" t="s">
        <v>368</v>
      </c>
      <c r="B226" t="s">
        <v>369</v>
      </c>
      <c r="C226" t="s">
        <v>1036</v>
      </c>
      <c r="D226" t="s">
        <v>935</v>
      </c>
      <c r="E226" s="17" t="str">
        <f t="shared" si="3"/>
        <v>Link</v>
      </c>
      <c r="F226" t="s">
        <v>942</v>
      </c>
      <c r="G226" t="s">
        <v>505</v>
      </c>
    </row>
    <row r="227" spans="1:7" x14ac:dyDescent="0.25">
      <c r="A227" s="1" t="s">
        <v>1303</v>
      </c>
      <c r="B227" t="s">
        <v>370</v>
      </c>
      <c r="C227" t="s">
        <v>1036</v>
      </c>
      <c r="D227" t="s">
        <v>935</v>
      </c>
      <c r="E227" s="17" t="str">
        <f t="shared" si="3"/>
        <v>Link</v>
      </c>
      <c r="F227" t="s">
        <v>943</v>
      </c>
      <c r="G227" t="s">
        <v>506</v>
      </c>
    </row>
    <row r="228" spans="1:7" x14ac:dyDescent="0.25">
      <c r="A228" s="1" t="s">
        <v>372</v>
      </c>
      <c r="B228" t="s">
        <v>373</v>
      </c>
      <c r="C228" t="s">
        <v>1042</v>
      </c>
      <c r="D228" t="s">
        <v>973</v>
      </c>
      <c r="E228" s="17" t="str">
        <f t="shared" si="3"/>
        <v/>
      </c>
    </row>
    <row r="229" spans="1:7" x14ac:dyDescent="0.25">
      <c r="A229" s="1" t="s">
        <v>375</v>
      </c>
      <c r="B229" t="s">
        <v>376</v>
      </c>
      <c r="C229" t="s">
        <v>1036</v>
      </c>
      <c r="D229" t="s">
        <v>936</v>
      </c>
      <c r="E229" s="17" t="str">
        <f t="shared" si="3"/>
        <v>Link</v>
      </c>
      <c r="F229" t="s">
        <v>510</v>
      </c>
      <c r="G229" t="s">
        <v>958</v>
      </c>
    </row>
    <row r="230" spans="1:7" x14ac:dyDescent="0.25">
      <c r="A230" s="1" t="s">
        <v>379</v>
      </c>
      <c r="B230" t="s">
        <v>377</v>
      </c>
      <c r="C230" t="s">
        <v>1036</v>
      </c>
      <c r="D230" t="s">
        <v>936</v>
      </c>
      <c r="E230" s="17" t="str">
        <f t="shared" si="3"/>
        <v>Link</v>
      </c>
      <c r="F230" t="s">
        <v>511</v>
      </c>
      <c r="G230" t="s">
        <v>958</v>
      </c>
    </row>
    <row r="231" spans="1:7" x14ac:dyDescent="0.25">
      <c r="A231" s="1" t="s">
        <v>374</v>
      </c>
      <c r="B231" t="s">
        <v>378</v>
      </c>
      <c r="C231" t="s">
        <v>1036</v>
      </c>
      <c r="D231" t="s">
        <v>936</v>
      </c>
      <c r="E231" s="17" t="str">
        <f t="shared" si="3"/>
        <v>Link</v>
      </c>
      <c r="F231" t="s">
        <v>507</v>
      </c>
      <c r="G231" t="s">
        <v>958</v>
      </c>
    </row>
    <row r="232" spans="1:7" x14ac:dyDescent="0.25">
      <c r="A232" s="1" t="s">
        <v>411</v>
      </c>
      <c r="B232" t="s">
        <v>380</v>
      </c>
      <c r="C232" t="s">
        <v>1036</v>
      </c>
      <c r="D232" t="s">
        <v>936</v>
      </c>
      <c r="E232" s="17" t="str">
        <f t="shared" si="3"/>
        <v>Link</v>
      </c>
      <c r="F232" t="s">
        <v>508</v>
      </c>
      <c r="G232" t="s">
        <v>958</v>
      </c>
    </row>
    <row r="233" spans="1:7" x14ac:dyDescent="0.25">
      <c r="A233" s="1" t="s">
        <v>435</v>
      </c>
      <c r="B233" t="s">
        <v>381</v>
      </c>
      <c r="C233" t="s">
        <v>937</v>
      </c>
      <c r="D233" t="s">
        <v>1017</v>
      </c>
      <c r="E233" s="17" t="str">
        <f t="shared" si="3"/>
        <v/>
      </c>
    </row>
    <row r="234" spans="1:7" x14ac:dyDescent="0.25">
      <c r="A234" s="1" t="s">
        <v>382</v>
      </c>
      <c r="B234" t="s">
        <v>383</v>
      </c>
      <c r="C234" t="s">
        <v>1042</v>
      </c>
      <c r="D234" t="s">
        <v>973</v>
      </c>
      <c r="E234" s="17" t="str">
        <f t="shared" si="3"/>
        <v/>
      </c>
    </row>
    <row r="235" spans="1:7" x14ac:dyDescent="0.25">
      <c r="A235" s="1" t="s">
        <v>384</v>
      </c>
      <c r="B235" t="s">
        <v>385</v>
      </c>
      <c r="C235" t="s">
        <v>938</v>
      </c>
      <c r="E235" s="17" t="str">
        <f t="shared" si="3"/>
        <v>Link</v>
      </c>
      <c r="G235" t="s">
        <v>512</v>
      </c>
    </row>
    <row r="236" spans="1:7" x14ac:dyDescent="0.25">
      <c r="A236" s="1" t="s">
        <v>916</v>
      </c>
      <c r="B236" t="s">
        <v>726</v>
      </c>
      <c r="C236" t="s">
        <v>1040</v>
      </c>
      <c r="D236" t="s">
        <v>1313</v>
      </c>
      <c r="E236" s="17" t="str">
        <f t="shared" si="3"/>
        <v>Link</v>
      </c>
      <c r="F236" t="s">
        <v>917</v>
      </c>
      <c r="G236" t="s">
        <v>1314</v>
      </c>
    </row>
    <row r="237" spans="1:7" x14ac:dyDescent="0.25">
      <c r="A237" s="1" t="s">
        <v>387</v>
      </c>
      <c r="B237" t="s">
        <v>388</v>
      </c>
      <c r="C237" t="s">
        <v>1042</v>
      </c>
      <c r="D237" t="s">
        <v>973</v>
      </c>
      <c r="E237" s="17" t="str">
        <f t="shared" si="3"/>
        <v/>
      </c>
    </row>
    <row r="238" spans="1:7" x14ac:dyDescent="0.25">
      <c r="A238" s="1" t="s">
        <v>389</v>
      </c>
      <c r="B238" t="s">
        <v>390</v>
      </c>
      <c r="C238" t="s">
        <v>1036</v>
      </c>
      <c r="D238" t="s">
        <v>936</v>
      </c>
      <c r="E238" s="17" t="str">
        <f t="shared" si="3"/>
        <v>Link</v>
      </c>
      <c r="F238" t="s">
        <v>509</v>
      </c>
      <c r="G238" t="s">
        <v>958</v>
      </c>
    </row>
    <row r="239" spans="1:7" x14ac:dyDescent="0.25">
      <c r="A239" s="1" t="s">
        <v>424</v>
      </c>
      <c r="B239" t="s">
        <v>409</v>
      </c>
      <c r="C239" t="s">
        <v>1036</v>
      </c>
      <c r="D239" t="s">
        <v>941</v>
      </c>
      <c r="E239" s="17" t="str">
        <f t="shared" si="3"/>
        <v>Link</v>
      </c>
      <c r="F239" t="s">
        <v>502</v>
      </c>
      <c r="G239" t="s">
        <v>501</v>
      </c>
    </row>
    <row r="240" spans="1:7" x14ac:dyDescent="0.25">
      <c r="A240" s="1" t="s">
        <v>444</v>
      </c>
      <c r="B240" t="s">
        <v>412</v>
      </c>
      <c r="C240" t="s">
        <v>1042</v>
      </c>
      <c r="D240" t="s">
        <v>972</v>
      </c>
      <c r="E240" s="17" t="str">
        <f t="shared" si="3"/>
        <v/>
      </c>
    </row>
    <row r="241" spans="1:7" x14ac:dyDescent="0.25">
      <c r="A241" s="1" t="s">
        <v>422</v>
      </c>
      <c r="B241" t="s">
        <v>417</v>
      </c>
      <c r="C241" t="s">
        <v>1042</v>
      </c>
      <c r="D241" t="s">
        <v>972</v>
      </c>
      <c r="E241" s="17" t="str">
        <f t="shared" si="3"/>
        <v>Link</v>
      </c>
      <c r="F241" t="s">
        <v>940</v>
      </c>
      <c r="G241" t="s">
        <v>939</v>
      </c>
    </row>
    <row r="242" spans="1:7" x14ac:dyDescent="0.25">
      <c r="A242" s="1" t="s">
        <v>478</v>
      </c>
      <c r="B242" t="s">
        <v>377</v>
      </c>
      <c r="C242" t="s">
        <v>1036</v>
      </c>
      <c r="D242" t="s">
        <v>972</v>
      </c>
      <c r="E242" s="17" t="str">
        <f t="shared" si="3"/>
        <v>Link</v>
      </c>
      <c r="F242" t="s">
        <v>477</v>
      </c>
      <c r="G242" t="s">
        <v>515</v>
      </c>
    </row>
    <row r="243" spans="1:7" x14ac:dyDescent="0.25">
      <c r="A243" s="1" t="s">
        <v>443</v>
      </c>
      <c r="B243" t="s">
        <v>421</v>
      </c>
      <c r="C243" t="s">
        <v>1042</v>
      </c>
      <c r="D243" t="s">
        <v>973</v>
      </c>
      <c r="E243" s="17" t="str">
        <f t="shared" ref="E243:E307" si="4">IF(G243="","",HYPERLINK(G243,"Link"))</f>
        <v/>
      </c>
    </row>
    <row r="244" spans="1:7" x14ac:dyDescent="0.25">
      <c r="A244" s="1" t="s">
        <v>442</v>
      </c>
      <c r="B244" t="s">
        <v>423</v>
      </c>
      <c r="C244" t="s">
        <v>1042</v>
      </c>
      <c r="D244" t="s">
        <v>972</v>
      </c>
      <c r="E244" s="17" t="str">
        <f t="shared" si="4"/>
        <v/>
      </c>
    </row>
    <row r="245" spans="1:7" x14ac:dyDescent="0.25">
      <c r="A245" s="1" t="s">
        <v>425</v>
      </c>
      <c r="B245" t="s">
        <v>1038</v>
      </c>
      <c r="C245" t="s">
        <v>1036</v>
      </c>
      <c r="D245" t="s">
        <v>941</v>
      </c>
      <c r="E245" s="17" t="str">
        <f t="shared" si="4"/>
        <v>Link</v>
      </c>
      <c r="F245" t="s">
        <v>502</v>
      </c>
      <c r="G245" t="s">
        <v>503</v>
      </c>
    </row>
    <row r="246" spans="1:7" x14ac:dyDescent="0.25">
      <c r="A246" s="1" t="s">
        <v>441</v>
      </c>
      <c r="B246" t="s">
        <v>440</v>
      </c>
      <c r="C246" t="s">
        <v>1042</v>
      </c>
      <c r="D246" t="s">
        <v>973</v>
      </c>
      <c r="E246" s="17" t="str">
        <f t="shared" si="4"/>
        <v/>
      </c>
    </row>
    <row r="247" spans="1:7" x14ac:dyDescent="0.25">
      <c r="A247" s="1" t="s">
        <v>447</v>
      </c>
      <c r="B247" t="s">
        <v>446</v>
      </c>
      <c r="C247" t="s">
        <v>1042</v>
      </c>
      <c r="D247" t="s">
        <v>973</v>
      </c>
      <c r="E247" s="17" t="str">
        <f t="shared" si="4"/>
        <v/>
      </c>
    </row>
    <row r="248" spans="1:7" x14ac:dyDescent="0.25">
      <c r="A248" s="1" t="s">
        <v>454</v>
      </c>
      <c r="B248" t="s">
        <v>453</v>
      </c>
      <c r="C248" t="s">
        <v>1042</v>
      </c>
      <c r="D248" t="s">
        <v>973</v>
      </c>
      <c r="E248" s="17" t="str">
        <f t="shared" si="4"/>
        <v/>
      </c>
    </row>
    <row r="249" spans="1:7" x14ac:dyDescent="0.25">
      <c r="A249" s="1" t="s">
        <v>455</v>
      </c>
      <c r="B249" t="s">
        <v>456</v>
      </c>
      <c r="C249" t="s">
        <v>1042</v>
      </c>
      <c r="D249" t="s">
        <v>973</v>
      </c>
      <c r="E249" s="17" t="str">
        <f t="shared" si="4"/>
        <v/>
      </c>
    </row>
    <row r="250" spans="1:7" x14ac:dyDescent="0.25">
      <c r="A250" s="1" t="s">
        <v>418</v>
      </c>
      <c r="B250" t="s">
        <v>409</v>
      </c>
      <c r="C250" t="s">
        <v>1036</v>
      </c>
      <c r="D250" t="s">
        <v>936</v>
      </c>
      <c r="E250" s="17" t="str">
        <f t="shared" si="4"/>
        <v>Link</v>
      </c>
      <c r="G250" t="s">
        <v>504</v>
      </c>
    </row>
    <row r="251" spans="1:7" x14ac:dyDescent="0.25">
      <c r="A251" s="1" t="s">
        <v>491</v>
      </c>
      <c r="B251" t="s">
        <v>461</v>
      </c>
      <c r="C251" t="s">
        <v>1042</v>
      </c>
      <c r="D251" t="s">
        <v>972</v>
      </c>
      <c r="E251" s="17" t="str">
        <f t="shared" si="4"/>
        <v/>
      </c>
      <c r="F251" t="s">
        <v>492</v>
      </c>
    </row>
    <row r="252" spans="1:7" x14ac:dyDescent="0.25">
      <c r="A252" s="1" t="s">
        <v>1111</v>
      </c>
      <c r="B252" t="s">
        <v>1171</v>
      </c>
      <c r="C252" t="s">
        <v>1037</v>
      </c>
      <c r="D252" t="s">
        <v>934</v>
      </c>
      <c r="E252" s="17" t="str">
        <f t="shared" si="4"/>
        <v>Link</v>
      </c>
      <c r="F252" t="s">
        <v>518</v>
      </c>
      <c r="G252" t="s">
        <v>959</v>
      </c>
    </row>
    <row r="253" spans="1:7" x14ac:dyDescent="0.25">
      <c r="A253" s="1" t="s">
        <v>466</v>
      </c>
      <c r="B253" t="s">
        <v>483</v>
      </c>
      <c r="C253" t="s">
        <v>1042</v>
      </c>
      <c r="D253" t="s">
        <v>972</v>
      </c>
      <c r="E253" s="17" t="str">
        <f t="shared" si="4"/>
        <v/>
      </c>
      <c r="F253" t="s">
        <v>495</v>
      </c>
    </row>
    <row r="254" spans="1:7" x14ac:dyDescent="0.25">
      <c r="A254" s="1" t="s">
        <v>467</v>
      </c>
      <c r="B254" t="s">
        <v>563</v>
      </c>
      <c r="C254" t="s">
        <v>1042</v>
      </c>
      <c r="D254" t="s">
        <v>972</v>
      </c>
      <c r="E254" s="17" t="str">
        <f t="shared" si="4"/>
        <v/>
      </c>
      <c r="F254" t="s">
        <v>496</v>
      </c>
    </row>
    <row r="255" spans="1:7" x14ac:dyDescent="0.25">
      <c r="A255" s="1" t="s">
        <v>471</v>
      </c>
      <c r="B255" t="s">
        <v>472</v>
      </c>
      <c r="C255" t="s">
        <v>937</v>
      </c>
      <c r="D255" t="s">
        <v>1032</v>
      </c>
      <c r="E255" s="17" t="str">
        <f t="shared" si="4"/>
        <v/>
      </c>
    </row>
    <row r="256" spans="1:7" x14ac:dyDescent="0.25">
      <c r="A256" s="1" t="s">
        <v>473</v>
      </c>
      <c r="B256" t="s">
        <v>474</v>
      </c>
      <c r="C256" t="s">
        <v>937</v>
      </c>
      <c r="D256" t="s">
        <v>1032</v>
      </c>
      <c r="E256" s="17" t="str">
        <f t="shared" si="4"/>
        <v/>
      </c>
    </row>
    <row r="257" spans="1:7" x14ac:dyDescent="0.25">
      <c r="A257" s="1" t="s">
        <v>485</v>
      </c>
      <c r="B257" t="s">
        <v>484</v>
      </c>
      <c r="C257" t="s">
        <v>1042</v>
      </c>
      <c r="D257" t="s">
        <v>972</v>
      </c>
      <c r="E257" s="17" t="str">
        <f t="shared" si="4"/>
        <v>Link</v>
      </c>
      <c r="F257" t="s">
        <v>486</v>
      </c>
      <c r="G257" t="s">
        <v>513</v>
      </c>
    </row>
    <row r="258" spans="1:7" x14ac:dyDescent="0.25">
      <c r="A258" s="19" t="s">
        <v>1227</v>
      </c>
      <c r="B258" t="s">
        <v>944</v>
      </c>
      <c r="C258" t="s">
        <v>1036</v>
      </c>
      <c r="D258" t="s">
        <v>935</v>
      </c>
      <c r="E258" s="17" t="str">
        <f t="shared" si="4"/>
        <v>Link</v>
      </c>
      <c r="F258" t="s">
        <v>517</v>
      </c>
      <c r="G258" t="s">
        <v>514</v>
      </c>
    </row>
    <row r="259" spans="1:7" x14ac:dyDescent="0.25">
      <c r="A259" s="19" t="s">
        <v>1224</v>
      </c>
      <c r="B259" t="s">
        <v>1225</v>
      </c>
      <c r="C259" t="s">
        <v>1036</v>
      </c>
      <c r="D259" t="s">
        <v>935</v>
      </c>
    </row>
    <row r="260" spans="1:7" x14ac:dyDescent="0.25">
      <c r="A260" s="19" t="s">
        <v>1305</v>
      </c>
      <c r="B260" t="s">
        <v>377</v>
      </c>
      <c r="C260" t="s">
        <v>1036</v>
      </c>
      <c r="D260" t="s">
        <v>935</v>
      </c>
      <c r="E260" s="17" t="str">
        <f t="shared" si="4"/>
        <v>Link</v>
      </c>
      <c r="F260" t="s">
        <v>487</v>
      </c>
      <c r="G260" t="s">
        <v>515</v>
      </c>
    </row>
    <row r="261" spans="1:7" x14ac:dyDescent="0.25">
      <c r="A261" s="19" t="s">
        <v>946</v>
      </c>
      <c r="B261" t="s">
        <v>945</v>
      </c>
      <c r="C261" t="s">
        <v>1042</v>
      </c>
      <c r="D261" t="s">
        <v>971</v>
      </c>
      <c r="E261" s="17" t="str">
        <f t="shared" si="4"/>
        <v>Link</v>
      </c>
      <c r="F261" s="20"/>
      <c r="G261" t="s">
        <v>516</v>
      </c>
    </row>
    <row r="262" spans="1:7" x14ac:dyDescent="0.25">
      <c r="A262" s="19" t="s">
        <v>525</v>
      </c>
      <c r="B262" t="s">
        <v>526</v>
      </c>
      <c r="C262" t="s">
        <v>937</v>
      </c>
      <c r="D262" t="s">
        <v>1017</v>
      </c>
      <c r="E262" s="17" t="str">
        <f t="shared" si="4"/>
        <v/>
      </c>
      <c r="F262" t="s">
        <v>527</v>
      </c>
    </row>
    <row r="263" spans="1:7" x14ac:dyDescent="0.25">
      <c r="A263" s="19" t="s">
        <v>531</v>
      </c>
      <c r="B263" t="s">
        <v>532</v>
      </c>
      <c r="C263" t="s">
        <v>937</v>
      </c>
      <c r="D263" t="s">
        <v>1017</v>
      </c>
      <c r="E263" s="17" t="str">
        <f t="shared" si="4"/>
        <v/>
      </c>
      <c r="F263" t="s">
        <v>533</v>
      </c>
    </row>
    <row r="264" spans="1:7" x14ac:dyDescent="0.25">
      <c r="A264" s="19" t="s">
        <v>679</v>
      </c>
      <c r="B264" t="s">
        <v>1309</v>
      </c>
      <c r="C264" t="s">
        <v>1036</v>
      </c>
      <c r="D264" t="s">
        <v>935</v>
      </c>
      <c r="E264" s="17" t="str">
        <f t="shared" si="4"/>
        <v>Link</v>
      </c>
      <c r="F264" t="s">
        <v>680</v>
      </c>
      <c r="G264" t="s">
        <v>529</v>
      </c>
    </row>
    <row r="265" spans="1:7" x14ac:dyDescent="0.25">
      <c r="A265" s="19" t="s">
        <v>678</v>
      </c>
      <c r="B265" t="s">
        <v>1310</v>
      </c>
      <c r="C265" t="s">
        <v>1036</v>
      </c>
      <c r="D265" t="s">
        <v>935</v>
      </c>
      <c r="E265" s="17" t="str">
        <f t="shared" si="4"/>
        <v>Link</v>
      </c>
      <c r="F265" t="s">
        <v>681</v>
      </c>
      <c r="G265" t="s">
        <v>530</v>
      </c>
    </row>
    <row r="266" spans="1:7" x14ac:dyDescent="0.25">
      <c r="A266" s="19" t="s">
        <v>682</v>
      </c>
      <c r="B266" t="s">
        <v>528</v>
      </c>
      <c r="C266" t="s">
        <v>1036</v>
      </c>
      <c r="D266" t="s">
        <v>935</v>
      </c>
      <c r="E266" s="17" t="str">
        <f t="shared" si="4"/>
        <v>Link</v>
      </c>
      <c r="F266" t="s">
        <v>683</v>
      </c>
      <c r="G266" t="s">
        <v>530</v>
      </c>
    </row>
    <row r="267" spans="1:7" x14ac:dyDescent="0.25">
      <c r="A267" s="20" t="s">
        <v>534</v>
      </c>
      <c r="B267" t="s">
        <v>564</v>
      </c>
      <c r="C267" t="s">
        <v>1042</v>
      </c>
      <c r="D267" t="s">
        <v>971</v>
      </c>
      <c r="E267" s="17" t="str">
        <f t="shared" si="4"/>
        <v/>
      </c>
      <c r="F267" t="s">
        <v>539</v>
      </c>
    </row>
    <row r="268" spans="1:7" x14ac:dyDescent="0.25">
      <c r="A268" s="20" t="s">
        <v>535</v>
      </c>
      <c r="B268" t="s">
        <v>1302</v>
      </c>
      <c r="C268" t="s">
        <v>1036</v>
      </c>
      <c r="D268" t="s">
        <v>936</v>
      </c>
      <c r="E268" s="17" t="str">
        <f t="shared" si="4"/>
        <v/>
      </c>
    </row>
    <row r="269" spans="1:7" x14ac:dyDescent="0.25">
      <c r="A269" s="20" t="s">
        <v>545</v>
      </c>
      <c r="B269" t="s">
        <v>546</v>
      </c>
      <c r="C269" t="s">
        <v>1042</v>
      </c>
      <c r="D269" t="s">
        <v>971</v>
      </c>
      <c r="E269" s="17" t="str">
        <f t="shared" si="4"/>
        <v/>
      </c>
    </row>
    <row r="270" spans="1:7" x14ac:dyDescent="0.25">
      <c r="A270" s="20" t="s">
        <v>550</v>
      </c>
      <c r="B270" t="s">
        <v>551</v>
      </c>
      <c r="C270" t="s">
        <v>1042</v>
      </c>
      <c r="D270" t="s">
        <v>971</v>
      </c>
      <c r="E270" s="17" t="str">
        <f t="shared" si="4"/>
        <v/>
      </c>
      <c r="F270" t="s">
        <v>552</v>
      </c>
    </row>
    <row r="271" spans="1:7" x14ac:dyDescent="0.25">
      <c r="A271" s="20" t="s">
        <v>555</v>
      </c>
      <c r="B271" t="s">
        <v>556</v>
      </c>
      <c r="C271" t="s">
        <v>1042</v>
      </c>
      <c r="D271" t="s">
        <v>971</v>
      </c>
      <c r="E271" s="17" t="str">
        <f t="shared" si="4"/>
        <v/>
      </c>
      <c r="F271" t="s">
        <v>552</v>
      </c>
    </row>
    <row r="272" spans="1:7" x14ac:dyDescent="0.25">
      <c r="A272" s="20" t="s">
        <v>557</v>
      </c>
      <c r="B272" t="s">
        <v>557</v>
      </c>
      <c r="C272" t="s">
        <v>937</v>
      </c>
      <c r="D272" t="s">
        <v>1039</v>
      </c>
      <c r="E272" s="17" t="str">
        <f t="shared" si="4"/>
        <v/>
      </c>
    </row>
    <row r="273" spans="1:7" x14ac:dyDescent="0.25">
      <c r="A273" s="20" t="s">
        <v>558</v>
      </c>
      <c r="B273" t="s">
        <v>558</v>
      </c>
      <c r="C273" t="s">
        <v>937</v>
      </c>
      <c r="D273" t="s">
        <v>1039</v>
      </c>
      <c r="E273" s="17" t="str">
        <f t="shared" si="4"/>
        <v/>
      </c>
    </row>
    <row r="274" spans="1:7" x14ac:dyDescent="0.25">
      <c r="A274" s="20" t="s">
        <v>685</v>
      </c>
      <c r="B274" t="s">
        <v>1307</v>
      </c>
      <c r="C274" t="s">
        <v>1036</v>
      </c>
      <c r="D274" t="s">
        <v>935</v>
      </c>
      <c r="E274" s="17" t="str">
        <f t="shared" si="4"/>
        <v>Link</v>
      </c>
      <c r="F274" t="s">
        <v>687</v>
      </c>
      <c r="G274" t="s">
        <v>970</v>
      </c>
    </row>
    <row r="275" spans="1:7" x14ac:dyDescent="0.25">
      <c r="A275" s="20" t="s">
        <v>686</v>
      </c>
      <c r="B275" t="s">
        <v>1308</v>
      </c>
      <c r="C275" t="s">
        <v>1036</v>
      </c>
      <c r="D275" t="s">
        <v>935</v>
      </c>
      <c r="E275" s="17" t="str">
        <f t="shared" si="4"/>
        <v>Link</v>
      </c>
      <c r="F275" t="s">
        <v>688</v>
      </c>
      <c r="G275" t="s">
        <v>970</v>
      </c>
    </row>
    <row r="276" spans="1:7" x14ac:dyDescent="0.25">
      <c r="A276" s="20" t="s">
        <v>567</v>
      </c>
      <c r="B276" t="s">
        <v>568</v>
      </c>
      <c r="C276" t="s">
        <v>1042</v>
      </c>
      <c r="D276" t="s">
        <v>971</v>
      </c>
      <c r="E276" s="17" t="str">
        <f t="shared" si="4"/>
        <v/>
      </c>
    </row>
    <row r="277" spans="1:7" x14ac:dyDescent="0.25">
      <c r="A277" s="20" t="s">
        <v>585</v>
      </c>
      <c r="B277" t="s">
        <v>948</v>
      </c>
      <c r="C277" t="s">
        <v>1042</v>
      </c>
      <c r="D277" t="s">
        <v>971</v>
      </c>
      <c r="E277" s="17" t="str">
        <f t="shared" si="4"/>
        <v/>
      </c>
    </row>
    <row r="278" spans="1:7" x14ac:dyDescent="0.25">
      <c r="A278" s="20" t="s">
        <v>922</v>
      </c>
      <c r="B278" t="s">
        <v>961</v>
      </c>
      <c r="C278" t="s">
        <v>1037</v>
      </c>
      <c r="D278" t="s">
        <v>934</v>
      </c>
      <c r="E278" s="17" t="str">
        <f t="shared" si="4"/>
        <v>Link</v>
      </c>
      <c r="G278" t="s">
        <v>960</v>
      </c>
    </row>
    <row r="279" spans="1:7" x14ac:dyDescent="0.25">
      <c r="A279" s="20" t="s">
        <v>588</v>
      </c>
      <c r="B279" t="s">
        <v>589</v>
      </c>
      <c r="C279" t="s">
        <v>1042</v>
      </c>
      <c r="D279" t="s">
        <v>971</v>
      </c>
      <c r="E279" s="17" t="str">
        <f t="shared" si="4"/>
        <v/>
      </c>
    </row>
    <row r="280" spans="1:7" x14ac:dyDescent="0.25">
      <c r="A280" s="20" t="s">
        <v>591</v>
      </c>
      <c r="B280" t="s">
        <v>592</v>
      </c>
      <c r="C280" t="s">
        <v>934</v>
      </c>
      <c r="D280" t="s">
        <v>955</v>
      </c>
      <c r="E280" s="17" t="str">
        <f t="shared" si="4"/>
        <v/>
      </c>
      <c r="F280" t="s">
        <v>949</v>
      </c>
    </row>
    <row r="281" spans="1:7" x14ac:dyDescent="0.25">
      <c r="A281" s="20" t="s">
        <v>595</v>
      </c>
      <c r="B281" t="s">
        <v>596</v>
      </c>
      <c r="C281" t="s">
        <v>1042</v>
      </c>
      <c r="D281" t="s">
        <v>973</v>
      </c>
      <c r="E281" s="17" t="str">
        <f t="shared" si="4"/>
        <v/>
      </c>
      <c r="F281" t="s">
        <v>950</v>
      </c>
    </row>
    <row r="282" spans="1:7" x14ac:dyDescent="0.25">
      <c r="A282" s="20" t="s">
        <v>599</v>
      </c>
      <c r="B282" t="s">
        <v>604</v>
      </c>
      <c r="C282" t="s">
        <v>1037</v>
      </c>
      <c r="D282" t="s">
        <v>934</v>
      </c>
      <c r="E282" s="17" t="str">
        <f t="shared" si="4"/>
        <v>Link</v>
      </c>
      <c r="F282" t="s">
        <v>601</v>
      </c>
      <c r="G282" t="s">
        <v>600</v>
      </c>
    </row>
    <row r="283" spans="1:7" x14ac:dyDescent="0.25">
      <c r="A283" s="20" t="s">
        <v>919</v>
      </c>
      <c r="B283" t="s">
        <v>967</v>
      </c>
      <c r="C283" t="s">
        <v>1037</v>
      </c>
      <c r="D283" t="s">
        <v>934</v>
      </c>
      <c r="E283" s="17" t="str">
        <f t="shared" si="4"/>
        <v/>
      </c>
      <c r="F283" t="s">
        <v>921</v>
      </c>
    </row>
    <row r="284" spans="1:7" x14ac:dyDescent="0.25">
      <c r="A284" s="20" t="s">
        <v>606</v>
      </c>
      <c r="B284" t="s">
        <v>613</v>
      </c>
      <c r="C284" t="s">
        <v>1036</v>
      </c>
      <c r="D284" t="s">
        <v>936</v>
      </c>
      <c r="E284" s="17" t="str">
        <f t="shared" si="4"/>
        <v>Link</v>
      </c>
      <c r="F284" t="s">
        <v>620</v>
      </c>
      <c r="G284" t="s">
        <v>504</v>
      </c>
    </row>
    <row r="285" spans="1:7" x14ac:dyDescent="0.25">
      <c r="A285" s="20" t="s">
        <v>608</v>
      </c>
      <c r="B285" t="s">
        <v>607</v>
      </c>
      <c r="C285" t="s">
        <v>1042</v>
      </c>
      <c r="D285" t="s">
        <v>971</v>
      </c>
      <c r="E285" s="17" t="str">
        <f t="shared" si="4"/>
        <v/>
      </c>
    </row>
    <row r="286" spans="1:7" x14ac:dyDescent="0.25">
      <c r="A286" s="20" t="s">
        <v>611</v>
      </c>
      <c r="B286" t="s">
        <v>612</v>
      </c>
      <c r="C286" t="s">
        <v>1042</v>
      </c>
      <c r="D286" t="s">
        <v>973</v>
      </c>
      <c r="E286" s="17" t="str">
        <f t="shared" si="4"/>
        <v/>
      </c>
    </row>
    <row r="287" spans="1:7" x14ac:dyDescent="0.25">
      <c r="A287" s="20" t="s">
        <v>616</v>
      </c>
      <c r="B287" t="s">
        <v>617</v>
      </c>
      <c r="C287" t="s">
        <v>1042</v>
      </c>
      <c r="D287" t="s">
        <v>973</v>
      </c>
      <c r="E287" s="17" t="str">
        <f t="shared" si="4"/>
        <v/>
      </c>
    </row>
    <row r="288" spans="1:7" x14ac:dyDescent="0.25">
      <c r="A288" s="20" t="s">
        <v>624</v>
      </c>
      <c r="B288" t="s">
        <v>623</v>
      </c>
      <c r="C288" t="s">
        <v>1042</v>
      </c>
      <c r="D288" t="s">
        <v>973</v>
      </c>
      <c r="E288" s="17" t="str">
        <f t="shared" si="4"/>
        <v/>
      </c>
    </row>
    <row r="289" spans="1:7" x14ac:dyDescent="0.25">
      <c r="A289" s="20" t="s">
        <v>625</v>
      </c>
      <c r="B289" t="s">
        <v>632</v>
      </c>
      <c r="C289" t="s">
        <v>1042</v>
      </c>
      <c r="D289" t="s">
        <v>971</v>
      </c>
      <c r="E289" s="17" t="str">
        <f t="shared" si="4"/>
        <v/>
      </c>
    </row>
    <row r="290" spans="1:7" x14ac:dyDescent="0.25">
      <c r="A290" s="20" t="s">
        <v>1060</v>
      </c>
      <c r="B290" t="s">
        <v>1316</v>
      </c>
      <c r="C290" t="s">
        <v>1040</v>
      </c>
      <c r="D290" t="s">
        <v>1041</v>
      </c>
      <c r="E290" s="17" t="str">
        <f t="shared" si="4"/>
        <v>Link</v>
      </c>
      <c r="F290" t="s">
        <v>627</v>
      </c>
      <c r="G290" t="s">
        <v>626</v>
      </c>
    </row>
    <row r="291" spans="1:7" x14ac:dyDescent="0.25">
      <c r="A291" s="20" t="s">
        <v>641</v>
      </c>
      <c r="B291" t="s">
        <v>640</v>
      </c>
      <c r="C291" t="s">
        <v>1042</v>
      </c>
      <c r="D291" t="s">
        <v>973</v>
      </c>
      <c r="E291" s="17" t="str">
        <f t="shared" si="4"/>
        <v/>
      </c>
    </row>
    <row r="292" spans="1:7" x14ac:dyDescent="0.25">
      <c r="A292" s="20" t="s">
        <v>643</v>
      </c>
      <c r="B292" t="s">
        <v>642</v>
      </c>
      <c r="C292" t="s">
        <v>1042</v>
      </c>
      <c r="D292" t="s">
        <v>973</v>
      </c>
      <c r="E292" s="17" t="str">
        <f t="shared" si="4"/>
        <v/>
      </c>
    </row>
    <row r="293" spans="1:7" x14ac:dyDescent="0.25">
      <c r="A293" s="20" t="s">
        <v>645</v>
      </c>
      <c r="B293" t="s">
        <v>646</v>
      </c>
      <c r="C293" t="s">
        <v>1042</v>
      </c>
      <c r="D293" t="s">
        <v>973</v>
      </c>
      <c r="E293" s="17" t="str">
        <f t="shared" si="4"/>
        <v/>
      </c>
    </row>
    <row r="294" spans="1:7" x14ac:dyDescent="0.25">
      <c r="A294" s="20" t="s">
        <v>754</v>
      </c>
      <c r="B294" t="s">
        <v>755</v>
      </c>
      <c r="C294" t="s">
        <v>1042</v>
      </c>
      <c r="D294" t="s">
        <v>973</v>
      </c>
      <c r="E294" s="17" t="str">
        <f t="shared" si="4"/>
        <v>Link</v>
      </c>
      <c r="G294" t="s">
        <v>648</v>
      </c>
    </row>
    <row r="295" spans="1:7" x14ac:dyDescent="0.25">
      <c r="A295" s="20" t="s">
        <v>649</v>
      </c>
      <c r="B295" t="s">
        <v>650</v>
      </c>
      <c r="C295" t="s">
        <v>1042</v>
      </c>
      <c r="D295" t="s">
        <v>971</v>
      </c>
      <c r="E295" s="17" t="str">
        <f t="shared" si="4"/>
        <v/>
      </c>
    </row>
    <row r="296" spans="1:7" x14ac:dyDescent="0.25">
      <c r="A296" s="20" t="s">
        <v>877</v>
      </c>
      <c r="B296" t="s">
        <v>1158</v>
      </c>
      <c r="C296" t="s">
        <v>1040</v>
      </c>
      <c r="D296" t="s">
        <v>955</v>
      </c>
      <c r="E296" s="17" t="str">
        <f t="shared" si="4"/>
        <v>Link</v>
      </c>
      <c r="F296" t="s">
        <v>1159</v>
      </c>
      <c r="G296" t="s">
        <v>875</v>
      </c>
    </row>
    <row r="297" spans="1:7" x14ac:dyDescent="0.25">
      <c r="A297" s="20" t="s">
        <v>876</v>
      </c>
      <c r="B297" t="s">
        <v>1157</v>
      </c>
      <c r="C297" t="s">
        <v>1040</v>
      </c>
      <c r="D297" t="s">
        <v>955</v>
      </c>
      <c r="E297" s="17" t="str">
        <f t="shared" si="4"/>
        <v>Link</v>
      </c>
      <c r="F297" t="s">
        <v>1159</v>
      </c>
      <c r="G297" t="s">
        <v>875</v>
      </c>
    </row>
    <row r="298" spans="1:7" x14ac:dyDescent="0.25">
      <c r="A298" s="20" t="s">
        <v>739</v>
      </c>
      <c r="B298" t="s">
        <v>968</v>
      </c>
      <c r="C298" t="s">
        <v>1037</v>
      </c>
      <c r="D298" t="s">
        <v>934</v>
      </c>
      <c r="E298" s="17" t="str">
        <f t="shared" si="4"/>
        <v>Link</v>
      </c>
      <c r="F298" t="s">
        <v>966</v>
      </c>
      <c r="G298" t="s">
        <v>965</v>
      </c>
    </row>
    <row r="299" spans="1:7" x14ac:dyDescent="0.25">
      <c r="A299" s="20" t="s">
        <v>740</v>
      </c>
      <c r="B299" t="s">
        <v>742</v>
      </c>
      <c r="C299" t="s">
        <v>1037</v>
      </c>
      <c r="D299" t="s">
        <v>934</v>
      </c>
      <c r="E299" s="17" t="str">
        <f t="shared" si="4"/>
        <v>Link</v>
      </c>
      <c r="F299" t="s">
        <v>741</v>
      </c>
      <c r="G299" t="s">
        <v>964</v>
      </c>
    </row>
    <row r="300" spans="1:7" x14ac:dyDescent="0.25">
      <c r="A300" s="20" t="s">
        <v>667</v>
      </c>
      <c r="B300" t="s">
        <v>664</v>
      </c>
      <c r="C300" t="s">
        <v>1042</v>
      </c>
      <c r="D300" t="s">
        <v>973</v>
      </c>
      <c r="E300" s="17" t="str">
        <f t="shared" si="4"/>
        <v/>
      </c>
    </row>
    <row r="301" spans="1:7" x14ac:dyDescent="0.25">
      <c r="A301" s="20" t="s">
        <v>673</v>
      </c>
      <c r="B301" t="s">
        <v>672</v>
      </c>
      <c r="C301" t="s">
        <v>1042</v>
      </c>
      <c r="D301" t="s">
        <v>973</v>
      </c>
      <c r="E301" s="17" t="str">
        <f t="shared" si="4"/>
        <v/>
      </c>
    </row>
    <row r="302" spans="1:7" x14ac:dyDescent="0.25">
      <c r="A302" s="20" t="s">
        <v>674</v>
      </c>
      <c r="B302" t="s">
        <v>677</v>
      </c>
      <c r="C302" t="s">
        <v>1042</v>
      </c>
      <c r="D302" t="s">
        <v>973</v>
      </c>
      <c r="E302" s="17" t="str">
        <f t="shared" si="4"/>
        <v/>
      </c>
      <c r="F302" t="s">
        <v>675</v>
      </c>
    </row>
    <row r="303" spans="1:7" x14ac:dyDescent="0.25">
      <c r="A303" s="20" t="s">
        <v>691</v>
      </c>
      <c r="B303" t="s">
        <v>692</v>
      </c>
      <c r="C303" t="s">
        <v>1037</v>
      </c>
      <c r="D303" t="s">
        <v>1035</v>
      </c>
      <c r="E303" s="17" t="str">
        <f t="shared" si="4"/>
        <v>Link</v>
      </c>
      <c r="F303" t="s">
        <v>696</v>
      </c>
      <c r="G303" t="s">
        <v>690</v>
      </c>
    </row>
    <row r="304" spans="1:7" x14ac:dyDescent="0.25">
      <c r="A304" s="20" t="s">
        <v>694</v>
      </c>
      <c r="B304" t="s">
        <v>693</v>
      </c>
      <c r="C304" t="s">
        <v>1037</v>
      </c>
      <c r="D304" t="s">
        <v>1035</v>
      </c>
      <c r="E304" s="17" t="str">
        <f t="shared" si="4"/>
        <v/>
      </c>
      <c r="F304" t="s">
        <v>695</v>
      </c>
    </row>
    <row r="305" spans="1:7" x14ac:dyDescent="0.25">
      <c r="A305" s="20" t="s">
        <v>698</v>
      </c>
      <c r="B305" t="s">
        <v>718</v>
      </c>
      <c r="C305" t="s">
        <v>1042</v>
      </c>
      <c r="D305" t="s">
        <v>973</v>
      </c>
      <c r="E305" s="17" t="str">
        <f t="shared" si="4"/>
        <v/>
      </c>
    </row>
    <row r="306" spans="1:7" x14ac:dyDescent="0.25">
      <c r="A306" s="20" t="s">
        <v>728</v>
      </c>
      <c r="B306" t="s">
        <v>727</v>
      </c>
      <c r="E306" s="17" t="str">
        <f t="shared" si="4"/>
        <v>Link</v>
      </c>
      <c r="F306" s="18" t="s">
        <v>701</v>
      </c>
      <c r="G306" t="s">
        <v>700</v>
      </c>
    </row>
    <row r="307" spans="1:7" x14ac:dyDescent="0.25">
      <c r="A307" s="20" t="s">
        <v>1096</v>
      </c>
      <c r="B307" t="s">
        <v>1095</v>
      </c>
      <c r="C307" t="s">
        <v>1037</v>
      </c>
      <c r="D307" t="s">
        <v>934</v>
      </c>
      <c r="E307" s="17" t="str">
        <f t="shared" si="4"/>
        <v>Link</v>
      </c>
      <c r="F307" s="18"/>
      <c r="G307" t="s">
        <v>1097</v>
      </c>
    </row>
    <row r="308" spans="1:7" x14ac:dyDescent="0.25">
      <c r="A308" s="20" t="s">
        <v>774</v>
      </c>
      <c r="B308" t="s">
        <v>1095</v>
      </c>
      <c r="C308" t="s">
        <v>1037</v>
      </c>
      <c r="D308" t="s">
        <v>934</v>
      </c>
      <c r="E308" s="17" t="str">
        <f t="shared" ref="E308:E371" si="5">IF(G308="","",HYPERLINK(G308,"Link"))</f>
        <v>Link</v>
      </c>
      <c r="G308" t="s">
        <v>1097</v>
      </c>
    </row>
    <row r="309" spans="1:7" x14ac:dyDescent="0.25">
      <c r="A309" s="20" t="s">
        <v>1052</v>
      </c>
      <c r="B309" t="s">
        <v>1191</v>
      </c>
      <c r="C309" t="s">
        <v>1036</v>
      </c>
      <c r="D309" t="s">
        <v>936</v>
      </c>
      <c r="E309" s="17" t="str">
        <f t="shared" si="5"/>
        <v>Link</v>
      </c>
      <c r="F309" t="s">
        <v>708</v>
      </c>
      <c r="G309" t="s">
        <v>969</v>
      </c>
    </row>
    <row r="310" spans="1:7" x14ac:dyDescent="0.25">
      <c r="A310" s="20" t="s">
        <v>714</v>
      </c>
      <c r="B310" t="s">
        <v>715</v>
      </c>
      <c r="C310" t="s">
        <v>937</v>
      </c>
      <c r="D310" t="s">
        <v>1017</v>
      </c>
      <c r="E310" s="17" t="str">
        <f t="shared" si="5"/>
        <v/>
      </c>
      <c r="F310" t="s">
        <v>716</v>
      </c>
    </row>
    <row r="311" spans="1:7" x14ac:dyDescent="0.25">
      <c r="A311" s="20" t="s">
        <v>751</v>
      </c>
      <c r="B311" t="s">
        <v>951</v>
      </c>
      <c r="C311" t="s">
        <v>1036</v>
      </c>
      <c r="D311" t="s">
        <v>936</v>
      </c>
      <c r="E311" s="17" t="str">
        <f t="shared" si="5"/>
        <v>Link</v>
      </c>
      <c r="F311" t="s">
        <v>757</v>
      </c>
      <c r="G311" t="s">
        <v>717</v>
      </c>
    </row>
    <row r="312" spans="1:7" x14ac:dyDescent="0.25">
      <c r="A312" s="20" t="s">
        <v>752</v>
      </c>
      <c r="B312" t="s">
        <v>952</v>
      </c>
      <c r="C312" t="s">
        <v>1036</v>
      </c>
      <c r="D312" t="s">
        <v>936</v>
      </c>
      <c r="E312" s="17" t="str">
        <f t="shared" si="5"/>
        <v>Link</v>
      </c>
      <c r="F312" t="s">
        <v>758</v>
      </c>
      <c r="G312" t="s">
        <v>717</v>
      </c>
    </row>
    <row r="313" spans="1:7" x14ac:dyDescent="0.25">
      <c r="A313" s="20" t="s">
        <v>753</v>
      </c>
      <c r="B313" t="s">
        <v>953</v>
      </c>
      <c r="C313" t="s">
        <v>1036</v>
      </c>
      <c r="D313" t="s">
        <v>936</v>
      </c>
      <c r="E313" s="17" t="str">
        <f t="shared" si="5"/>
        <v>Link</v>
      </c>
      <c r="F313" t="s">
        <v>763</v>
      </c>
      <c r="G313" t="s">
        <v>717</v>
      </c>
    </row>
    <row r="314" spans="1:7" x14ac:dyDescent="0.25">
      <c r="A314" s="20" t="s">
        <v>720</v>
      </c>
      <c r="B314" t="s">
        <v>719</v>
      </c>
      <c r="C314" t="s">
        <v>1042</v>
      </c>
      <c r="D314" t="s">
        <v>971</v>
      </c>
      <c r="E314" s="17" t="str">
        <f t="shared" si="5"/>
        <v/>
      </c>
    </row>
    <row r="315" spans="1:7" x14ac:dyDescent="0.25">
      <c r="A315" s="20" t="s">
        <v>723</v>
      </c>
      <c r="B315" t="s">
        <v>721</v>
      </c>
      <c r="C315" t="s">
        <v>1042</v>
      </c>
      <c r="D315" t="s">
        <v>971</v>
      </c>
      <c r="E315" s="17" t="str">
        <f t="shared" si="5"/>
        <v/>
      </c>
    </row>
    <row r="316" spans="1:7" x14ac:dyDescent="0.25">
      <c r="A316" s="20" t="s">
        <v>733</v>
      </c>
      <c r="B316" t="s">
        <v>734</v>
      </c>
      <c r="C316" t="s">
        <v>1042</v>
      </c>
      <c r="D316" t="s">
        <v>973</v>
      </c>
      <c r="E316" s="17" t="str">
        <f t="shared" si="5"/>
        <v/>
      </c>
      <c r="F316" t="s">
        <v>735</v>
      </c>
    </row>
    <row r="317" spans="1:7" x14ac:dyDescent="0.25">
      <c r="A317" s="20" t="s">
        <v>745</v>
      </c>
      <c r="B317" t="s">
        <v>746</v>
      </c>
      <c r="C317" t="s">
        <v>1042</v>
      </c>
      <c r="D317" t="s">
        <v>973</v>
      </c>
      <c r="E317" s="17" t="str">
        <f t="shared" si="5"/>
        <v/>
      </c>
    </row>
    <row r="318" spans="1:7" x14ac:dyDescent="0.25">
      <c r="A318" s="20" t="s">
        <v>760</v>
      </c>
      <c r="B318" t="s">
        <v>761</v>
      </c>
      <c r="C318" t="s">
        <v>1042</v>
      </c>
      <c r="D318" t="s">
        <v>973</v>
      </c>
      <c r="E318" s="17" t="str">
        <f t="shared" si="5"/>
        <v/>
      </c>
    </row>
    <row r="319" spans="1:7" x14ac:dyDescent="0.25">
      <c r="A319" s="20" t="s">
        <v>764</v>
      </c>
      <c r="B319" t="s">
        <v>765</v>
      </c>
      <c r="C319" t="s">
        <v>1042</v>
      </c>
      <c r="D319" t="s">
        <v>973</v>
      </c>
      <c r="E319" s="17" t="str">
        <f t="shared" si="5"/>
        <v/>
      </c>
      <c r="F319" t="s">
        <v>766</v>
      </c>
    </row>
    <row r="320" spans="1:7" x14ac:dyDescent="0.25">
      <c r="A320" s="20" t="s">
        <v>767</v>
      </c>
      <c r="B320" t="s">
        <v>768</v>
      </c>
      <c r="C320" t="s">
        <v>1042</v>
      </c>
      <c r="D320" t="s">
        <v>973</v>
      </c>
      <c r="E320" s="17" t="str">
        <f t="shared" si="5"/>
        <v/>
      </c>
      <c r="F320" t="s">
        <v>771</v>
      </c>
    </row>
    <row r="321" spans="1:7" x14ac:dyDescent="0.25">
      <c r="A321" s="20" t="s">
        <v>779</v>
      </c>
      <c r="B321" t="s">
        <v>780</v>
      </c>
      <c r="C321" t="s">
        <v>1037</v>
      </c>
      <c r="D321" t="s">
        <v>934</v>
      </c>
      <c r="E321" s="17" t="str">
        <f t="shared" si="5"/>
        <v>Link</v>
      </c>
      <c r="G321" t="s">
        <v>965</v>
      </c>
    </row>
    <row r="322" spans="1:7" x14ac:dyDescent="0.25">
      <c r="A322" s="20" t="s">
        <v>878</v>
      </c>
      <c r="B322" t="s">
        <v>661</v>
      </c>
      <c r="C322" t="s">
        <v>1036</v>
      </c>
      <c r="D322" t="s">
        <v>935</v>
      </c>
      <c r="E322" s="17" t="str">
        <f t="shared" si="5"/>
        <v>Link</v>
      </c>
      <c r="F322" t="s">
        <v>854</v>
      </c>
      <c r="G322" t="s">
        <v>662</v>
      </c>
    </row>
    <row r="323" spans="1:7" x14ac:dyDescent="0.25">
      <c r="A323" s="20" t="s">
        <v>879</v>
      </c>
      <c r="B323" t="s">
        <v>1311</v>
      </c>
      <c r="C323" t="s">
        <v>1036</v>
      </c>
      <c r="D323" t="s">
        <v>935</v>
      </c>
      <c r="E323" s="17" t="str">
        <f t="shared" si="5"/>
        <v>Link</v>
      </c>
      <c r="F323" t="s">
        <v>782</v>
      </c>
      <c r="G323" t="s">
        <v>662</v>
      </c>
    </row>
    <row r="324" spans="1:7" x14ac:dyDescent="0.25">
      <c r="A324" s="20" t="s">
        <v>785</v>
      </c>
      <c r="B324" t="s">
        <v>786</v>
      </c>
      <c r="C324" t="s">
        <v>1037</v>
      </c>
      <c r="D324" t="s">
        <v>934</v>
      </c>
      <c r="E324" s="17" t="str">
        <f t="shared" si="5"/>
        <v>Link</v>
      </c>
      <c r="G324" t="s">
        <v>965</v>
      </c>
    </row>
    <row r="325" spans="1:7" x14ac:dyDescent="0.25">
      <c r="A325" s="20" t="s">
        <v>835</v>
      </c>
      <c r="B325" t="s">
        <v>791</v>
      </c>
      <c r="C325" t="s">
        <v>1042</v>
      </c>
      <c r="D325" t="s">
        <v>971</v>
      </c>
      <c r="E325" s="17" t="str">
        <f t="shared" si="5"/>
        <v/>
      </c>
      <c r="F325" t="s">
        <v>837</v>
      </c>
    </row>
    <row r="326" spans="1:7" x14ac:dyDescent="0.25">
      <c r="A326" s="20" t="s">
        <v>795</v>
      </c>
      <c r="B326" t="s">
        <v>793</v>
      </c>
      <c r="C326" t="s">
        <v>1042</v>
      </c>
      <c r="D326" t="s">
        <v>971</v>
      </c>
      <c r="E326" s="17" t="str">
        <f t="shared" si="5"/>
        <v/>
      </c>
      <c r="F326" t="s">
        <v>796</v>
      </c>
    </row>
    <row r="327" spans="1:7" x14ac:dyDescent="0.25">
      <c r="A327" s="20" t="s">
        <v>836</v>
      </c>
      <c r="B327" t="s">
        <v>812</v>
      </c>
      <c r="C327" t="s">
        <v>1042</v>
      </c>
      <c r="D327" t="s">
        <v>971</v>
      </c>
      <c r="E327" s="17" t="str">
        <f t="shared" si="5"/>
        <v/>
      </c>
      <c r="F327" t="s">
        <v>838</v>
      </c>
    </row>
    <row r="328" spans="1:7" x14ac:dyDescent="0.25">
      <c r="A328" s="20" t="s">
        <v>798</v>
      </c>
      <c r="B328" t="s">
        <v>799</v>
      </c>
      <c r="C328" t="s">
        <v>1042</v>
      </c>
      <c r="D328" t="s">
        <v>973</v>
      </c>
      <c r="E328" s="17" t="str">
        <f t="shared" si="5"/>
        <v/>
      </c>
      <c r="F328" t="s">
        <v>800</v>
      </c>
    </row>
    <row r="329" spans="1:7" x14ac:dyDescent="0.25">
      <c r="A329" s="20" t="s">
        <v>803</v>
      </c>
      <c r="B329" t="s">
        <v>804</v>
      </c>
      <c r="C329" t="s">
        <v>1042</v>
      </c>
      <c r="D329" t="s">
        <v>973</v>
      </c>
      <c r="E329" s="17" t="str">
        <f t="shared" si="5"/>
        <v>Link</v>
      </c>
      <c r="G329" t="s">
        <v>802</v>
      </c>
    </row>
    <row r="330" spans="1:7" x14ac:dyDescent="0.25">
      <c r="A330" s="20" t="s">
        <v>1045</v>
      </c>
      <c r="B330" t="s">
        <v>1047</v>
      </c>
      <c r="C330" t="s">
        <v>1036</v>
      </c>
      <c r="D330" t="s">
        <v>956</v>
      </c>
    </row>
    <row r="331" spans="1:7" x14ac:dyDescent="0.25">
      <c r="A331" s="20" t="s">
        <v>1046</v>
      </c>
      <c r="B331" t="s">
        <v>954</v>
      </c>
      <c r="C331" t="s">
        <v>1036</v>
      </c>
      <c r="D331" t="s">
        <v>956</v>
      </c>
      <c r="E331" s="17" t="str">
        <f t="shared" si="5"/>
        <v/>
      </c>
      <c r="F331" t="s">
        <v>813</v>
      </c>
    </row>
    <row r="332" spans="1:7" x14ac:dyDescent="0.25">
      <c r="A332" s="20" t="s">
        <v>817</v>
      </c>
      <c r="B332" t="s">
        <v>816</v>
      </c>
      <c r="C332" t="s">
        <v>1042</v>
      </c>
      <c r="D332" t="s">
        <v>973</v>
      </c>
      <c r="E332" s="17" t="str">
        <f t="shared" si="5"/>
        <v/>
      </c>
    </row>
    <row r="333" spans="1:7" x14ac:dyDescent="0.25">
      <c r="A333" s="20" t="s">
        <v>962</v>
      </c>
      <c r="B333" t="s">
        <v>819</v>
      </c>
      <c r="C333" t="s">
        <v>1037</v>
      </c>
      <c r="D333" t="s">
        <v>934</v>
      </c>
      <c r="E333" s="17" t="str">
        <f t="shared" si="5"/>
        <v>Link</v>
      </c>
      <c r="F333" t="s">
        <v>820</v>
      </c>
      <c r="G333" t="s">
        <v>821</v>
      </c>
    </row>
    <row r="334" spans="1:7" x14ac:dyDescent="0.25">
      <c r="A334" s="20" t="s">
        <v>823</v>
      </c>
      <c r="B334" t="s">
        <v>826</v>
      </c>
      <c r="C334" t="s">
        <v>937</v>
      </c>
      <c r="D334" t="s">
        <v>1032</v>
      </c>
      <c r="E334" s="17" t="str">
        <f t="shared" si="5"/>
        <v/>
      </c>
    </row>
    <row r="335" spans="1:7" x14ac:dyDescent="0.25">
      <c r="A335" s="20" t="s">
        <v>832</v>
      </c>
      <c r="B335" t="s">
        <v>850</v>
      </c>
      <c r="C335" t="s">
        <v>1042</v>
      </c>
      <c r="D335" t="s">
        <v>971</v>
      </c>
      <c r="E335" s="17" t="str">
        <f t="shared" si="5"/>
        <v>Link</v>
      </c>
      <c r="G335" t="s">
        <v>849</v>
      </c>
    </row>
    <row r="336" spans="1:7" x14ac:dyDescent="0.25">
      <c r="A336" s="20" t="s">
        <v>833</v>
      </c>
      <c r="B336" t="s">
        <v>834</v>
      </c>
      <c r="C336" t="s">
        <v>1042</v>
      </c>
      <c r="D336" t="s">
        <v>973</v>
      </c>
      <c r="E336" s="17" t="str">
        <f t="shared" si="5"/>
        <v/>
      </c>
    </row>
    <row r="337" spans="1:7" x14ac:dyDescent="0.25">
      <c r="A337" s="20" t="s">
        <v>839</v>
      </c>
      <c r="B337" t="s">
        <v>843</v>
      </c>
      <c r="C337" t="s">
        <v>1042</v>
      </c>
      <c r="D337" t="s">
        <v>971</v>
      </c>
      <c r="E337" s="17" t="str">
        <f t="shared" si="5"/>
        <v/>
      </c>
    </row>
    <row r="338" spans="1:7" x14ac:dyDescent="0.25">
      <c r="A338" s="20" t="s">
        <v>844</v>
      </c>
      <c r="B338" t="s">
        <v>845</v>
      </c>
      <c r="C338" t="s">
        <v>1042</v>
      </c>
      <c r="D338" t="s">
        <v>971</v>
      </c>
      <c r="E338" s="17" t="str">
        <f t="shared" si="5"/>
        <v/>
      </c>
    </row>
    <row r="339" spans="1:7" x14ac:dyDescent="0.25">
      <c r="A339" s="20" t="s">
        <v>857</v>
      </c>
      <c r="B339" t="s">
        <v>858</v>
      </c>
      <c r="C339" t="s">
        <v>1042</v>
      </c>
      <c r="D339" t="s">
        <v>973</v>
      </c>
      <c r="E339" s="17" t="str">
        <f t="shared" si="5"/>
        <v/>
      </c>
    </row>
    <row r="340" spans="1:7" x14ac:dyDescent="0.25">
      <c r="A340" s="20" t="s">
        <v>863</v>
      </c>
      <c r="B340" t="s">
        <v>859</v>
      </c>
      <c r="C340" t="s">
        <v>1042</v>
      </c>
      <c r="D340" t="s">
        <v>971</v>
      </c>
      <c r="E340" s="17" t="str">
        <f t="shared" si="5"/>
        <v/>
      </c>
      <c r="F340" t="s">
        <v>860</v>
      </c>
    </row>
    <row r="341" spans="1:7" x14ac:dyDescent="0.25">
      <c r="A341" s="20" t="s">
        <v>864</v>
      </c>
      <c r="B341" t="s">
        <v>865</v>
      </c>
      <c r="C341" t="s">
        <v>1042</v>
      </c>
      <c r="D341" t="s">
        <v>971</v>
      </c>
      <c r="E341" s="17" t="str">
        <f t="shared" si="5"/>
        <v/>
      </c>
    </row>
    <row r="342" spans="1:7" x14ac:dyDescent="0.25">
      <c r="A342" s="20" t="s">
        <v>870</v>
      </c>
      <c r="B342" t="s">
        <v>869</v>
      </c>
      <c r="C342" t="s">
        <v>1042</v>
      </c>
      <c r="D342" t="s">
        <v>973</v>
      </c>
      <c r="E342" s="17" t="str">
        <f t="shared" si="5"/>
        <v/>
      </c>
    </row>
    <row r="343" spans="1:7" x14ac:dyDescent="0.25">
      <c r="A343" s="20" t="s">
        <v>880</v>
      </c>
      <c r="B343" t="s">
        <v>883</v>
      </c>
      <c r="C343" t="s">
        <v>1042</v>
      </c>
      <c r="D343" t="s">
        <v>973</v>
      </c>
      <c r="E343" s="17" t="str">
        <f t="shared" si="5"/>
        <v>Link</v>
      </c>
      <c r="F343" t="s">
        <v>1051</v>
      </c>
      <c r="G343" t="s">
        <v>885</v>
      </c>
    </row>
    <row r="344" spans="1:7" x14ac:dyDescent="0.25">
      <c r="A344" s="20" t="s">
        <v>881</v>
      </c>
      <c r="B344" t="s">
        <v>884</v>
      </c>
      <c r="C344" t="s">
        <v>1042</v>
      </c>
      <c r="D344" t="s">
        <v>973</v>
      </c>
      <c r="E344" s="17" t="str">
        <f t="shared" si="5"/>
        <v/>
      </c>
      <c r="F344" t="s">
        <v>882</v>
      </c>
    </row>
    <row r="345" spans="1:7" x14ac:dyDescent="0.25">
      <c r="A345" s="20" t="s">
        <v>895</v>
      </c>
      <c r="B345" t="s">
        <v>888</v>
      </c>
      <c r="C345" t="s">
        <v>1042</v>
      </c>
      <c r="D345" t="s">
        <v>971</v>
      </c>
      <c r="E345" s="17" t="str">
        <f t="shared" si="5"/>
        <v/>
      </c>
    </row>
    <row r="346" spans="1:7" x14ac:dyDescent="0.25">
      <c r="A346" s="20" t="s">
        <v>896</v>
      </c>
      <c r="B346" t="s">
        <v>897</v>
      </c>
      <c r="C346" t="s">
        <v>1042</v>
      </c>
      <c r="D346" t="s">
        <v>971</v>
      </c>
      <c r="E346" s="17" t="str">
        <f t="shared" si="5"/>
        <v/>
      </c>
    </row>
    <row r="347" spans="1:7" x14ac:dyDescent="0.25">
      <c r="A347" s="20" t="s">
        <v>901</v>
      </c>
      <c r="B347" t="s">
        <v>902</v>
      </c>
      <c r="C347" t="s">
        <v>1042</v>
      </c>
      <c r="D347" t="s">
        <v>971</v>
      </c>
      <c r="E347" s="17" t="str">
        <f t="shared" si="5"/>
        <v/>
      </c>
    </row>
    <row r="348" spans="1:7" x14ac:dyDescent="0.25">
      <c r="A348" s="20" t="s">
        <v>1063</v>
      </c>
      <c r="B348" t="s">
        <v>930</v>
      </c>
      <c r="C348" t="s">
        <v>1037</v>
      </c>
      <c r="D348" t="s">
        <v>934</v>
      </c>
      <c r="E348" s="17" t="str">
        <f t="shared" si="5"/>
        <v/>
      </c>
      <c r="F348" t="s">
        <v>1064</v>
      </c>
    </row>
    <row r="349" spans="1:7" x14ac:dyDescent="0.25">
      <c r="A349" s="20" t="s">
        <v>911</v>
      </c>
      <c r="B349" t="s">
        <v>912</v>
      </c>
      <c r="C349" t="s">
        <v>1042</v>
      </c>
      <c r="D349" t="s">
        <v>973</v>
      </c>
      <c r="E349" s="17" t="str">
        <f t="shared" si="5"/>
        <v>Link</v>
      </c>
      <c r="G349" t="s">
        <v>924</v>
      </c>
    </row>
    <row r="350" spans="1:7" x14ac:dyDescent="0.25">
      <c r="A350" s="20" t="s">
        <v>1077</v>
      </c>
      <c r="B350" t="s">
        <v>914</v>
      </c>
      <c r="C350" t="s">
        <v>1042</v>
      </c>
      <c r="D350" t="s">
        <v>971</v>
      </c>
      <c r="E350" s="17" t="str">
        <f t="shared" si="5"/>
        <v>Link</v>
      </c>
      <c r="F350" t="s">
        <v>1076</v>
      </c>
      <c r="G350" t="s">
        <v>915</v>
      </c>
    </row>
    <row r="351" spans="1:7" x14ac:dyDescent="0.25">
      <c r="A351" s="20" t="s">
        <v>918</v>
      </c>
      <c r="B351" t="s">
        <v>920</v>
      </c>
      <c r="C351" t="s">
        <v>1037</v>
      </c>
      <c r="D351" t="s">
        <v>934</v>
      </c>
      <c r="E351" s="17" t="str">
        <f t="shared" si="5"/>
        <v>Link</v>
      </c>
      <c r="G351" t="s">
        <v>923</v>
      </c>
    </row>
    <row r="352" spans="1:7" x14ac:dyDescent="0.25">
      <c r="A352" s="20" t="s">
        <v>1304</v>
      </c>
      <c r="B352" t="s">
        <v>1306</v>
      </c>
      <c r="C352" t="s">
        <v>1036</v>
      </c>
      <c r="D352" t="s">
        <v>935</v>
      </c>
      <c r="E352" s="17" t="str">
        <f t="shared" si="5"/>
        <v>Link</v>
      </c>
      <c r="F352" t="s">
        <v>1066</v>
      </c>
      <c r="G352" t="s">
        <v>925</v>
      </c>
    </row>
    <row r="353" spans="1:7" x14ac:dyDescent="0.25">
      <c r="A353" s="20" t="s">
        <v>1050</v>
      </c>
      <c r="B353" t="s">
        <v>1133</v>
      </c>
      <c r="C353" t="s">
        <v>1037</v>
      </c>
      <c r="D353" t="s">
        <v>1041</v>
      </c>
      <c r="E353" s="17" t="str">
        <f t="shared" si="5"/>
        <v>Link</v>
      </c>
      <c r="G353" t="s">
        <v>1056</v>
      </c>
    </row>
    <row r="354" spans="1:7" x14ac:dyDescent="0.25">
      <c r="A354" s="20" t="s">
        <v>1062</v>
      </c>
      <c r="B354" t="s">
        <v>1058</v>
      </c>
      <c r="C354" t="s">
        <v>1040</v>
      </c>
      <c r="D354" t="s">
        <v>1041</v>
      </c>
      <c r="E354" s="17" t="str">
        <f t="shared" si="5"/>
        <v>Link</v>
      </c>
      <c r="F354" t="s">
        <v>1061</v>
      </c>
      <c r="G354" t="s">
        <v>1057</v>
      </c>
    </row>
    <row r="355" spans="1:7" x14ac:dyDescent="0.25">
      <c r="A355" s="20" t="s">
        <v>1074</v>
      </c>
      <c r="B355" t="s">
        <v>1059</v>
      </c>
      <c r="C355" t="s">
        <v>1040</v>
      </c>
      <c r="D355" t="s">
        <v>1041</v>
      </c>
      <c r="E355" s="17" t="str">
        <f t="shared" si="5"/>
        <v>Link</v>
      </c>
      <c r="F355" t="s">
        <v>1315</v>
      </c>
      <c r="G355" t="s">
        <v>1055</v>
      </c>
    </row>
    <row r="356" spans="1:7" x14ac:dyDescent="0.25">
      <c r="A356" s="20" t="s">
        <v>1067</v>
      </c>
      <c r="B356" t="s">
        <v>1068</v>
      </c>
      <c r="C356" t="s">
        <v>1040</v>
      </c>
      <c r="D356" t="s">
        <v>1041</v>
      </c>
      <c r="E356" s="17" t="str">
        <f t="shared" si="5"/>
        <v>Link</v>
      </c>
      <c r="F356" t="s">
        <v>1087</v>
      </c>
      <c r="G356" t="s">
        <v>1069</v>
      </c>
    </row>
    <row r="357" spans="1:7" x14ac:dyDescent="0.25">
      <c r="A357" s="20" t="s">
        <v>1082</v>
      </c>
      <c r="B357" t="s">
        <v>1118</v>
      </c>
      <c r="C357" t="s">
        <v>1042</v>
      </c>
      <c r="D357" t="s">
        <v>973</v>
      </c>
      <c r="E357" s="17" t="str">
        <f t="shared" si="5"/>
        <v>Link</v>
      </c>
      <c r="G357" t="s">
        <v>1080</v>
      </c>
    </row>
    <row r="358" spans="1:7" x14ac:dyDescent="0.25">
      <c r="A358" s="20" t="s">
        <v>1083</v>
      </c>
      <c r="B358" t="s">
        <v>1118</v>
      </c>
      <c r="C358" t="s">
        <v>1040</v>
      </c>
      <c r="D358" t="s">
        <v>1086</v>
      </c>
      <c r="E358" s="17" t="str">
        <f t="shared" si="5"/>
        <v>Link</v>
      </c>
      <c r="F358" t="s">
        <v>1084</v>
      </c>
      <c r="G358" t="s">
        <v>1081</v>
      </c>
    </row>
    <row r="359" spans="1:7" x14ac:dyDescent="0.25">
      <c r="A359" s="20" t="s">
        <v>1089</v>
      </c>
      <c r="B359" t="s">
        <v>1088</v>
      </c>
      <c r="C359" t="s">
        <v>1037</v>
      </c>
      <c r="D359" t="s">
        <v>1041</v>
      </c>
      <c r="E359" s="17" t="str">
        <f t="shared" si="5"/>
        <v>Link</v>
      </c>
      <c r="F359" t="s">
        <v>1090</v>
      </c>
      <c r="G359" t="s">
        <v>1091</v>
      </c>
    </row>
    <row r="360" spans="1:7" x14ac:dyDescent="0.25">
      <c r="A360" s="20" t="s">
        <v>1099</v>
      </c>
      <c r="B360" t="s">
        <v>1100</v>
      </c>
      <c r="C360" t="s">
        <v>1042</v>
      </c>
      <c r="D360" t="s">
        <v>973</v>
      </c>
      <c r="E360" s="17" t="str">
        <f t="shared" si="5"/>
        <v/>
      </c>
    </row>
    <row r="361" spans="1:7" x14ac:dyDescent="0.25">
      <c r="A361" s="20" t="s">
        <v>1102</v>
      </c>
      <c r="B361" t="s">
        <v>1104</v>
      </c>
      <c r="C361" t="s">
        <v>1037</v>
      </c>
      <c r="D361" t="s">
        <v>1041</v>
      </c>
      <c r="E361" s="17" t="str">
        <f t="shared" si="5"/>
        <v>Link</v>
      </c>
      <c r="G361" t="s">
        <v>1103</v>
      </c>
    </row>
    <row r="362" spans="1:7" x14ac:dyDescent="0.25">
      <c r="A362" s="20" t="s">
        <v>1106</v>
      </c>
      <c r="B362" t="s">
        <v>1107</v>
      </c>
      <c r="C362" t="s">
        <v>1042</v>
      </c>
      <c r="D362" t="s">
        <v>971</v>
      </c>
      <c r="E362" s="17" t="str">
        <f t="shared" si="5"/>
        <v/>
      </c>
    </row>
    <row r="363" spans="1:7" x14ac:dyDescent="0.25">
      <c r="A363" s="20" t="s">
        <v>1132</v>
      </c>
      <c r="B363" t="s">
        <v>1134</v>
      </c>
      <c r="C363" t="s">
        <v>1037</v>
      </c>
      <c r="D363" t="s">
        <v>1041</v>
      </c>
      <c r="E363" s="17" t="str">
        <f t="shared" si="5"/>
        <v/>
      </c>
      <c r="F363" t="s">
        <v>1135</v>
      </c>
    </row>
    <row r="364" spans="1:7" x14ac:dyDescent="0.25">
      <c r="A364" s="20" t="s">
        <v>1138</v>
      </c>
      <c r="B364" t="s">
        <v>1147</v>
      </c>
      <c r="C364" t="s">
        <v>1042</v>
      </c>
      <c r="D364" t="s">
        <v>973</v>
      </c>
      <c r="E364" s="17" t="str">
        <f t="shared" si="5"/>
        <v>Link</v>
      </c>
      <c r="G364" t="s">
        <v>1140</v>
      </c>
    </row>
    <row r="365" spans="1:7" x14ac:dyDescent="0.25">
      <c r="A365" s="20" t="s">
        <v>1141</v>
      </c>
      <c r="B365" t="s">
        <v>1162</v>
      </c>
      <c r="C365" t="s">
        <v>1036</v>
      </c>
      <c r="D365" t="s">
        <v>936</v>
      </c>
      <c r="E365" s="17" t="str">
        <f t="shared" si="5"/>
        <v>Link</v>
      </c>
      <c r="F365" t="s">
        <v>1142</v>
      </c>
      <c r="G365" t="s">
        <v>1143</v>
      </c>
    </row>
    <row r="366" spans="1:7" x14ac:dyDescent="0.25">
      <c r="A366" s="20" t="s">
        <v>1144</v>
      </c>
      <c r="B366" t="s">
        <v>1163</v>
      </c>
      <c r="C366" t="s">
        <v>1036</v>
      </c>
      <c r="D366" t="s">
        <v>936</v>
      </c>
      <c r="E366" s="17" t="str">
        <f t="shared" si="5"/>
        <v>Link</v>
      </c>
      <c r="F366" t="s">
        <v>1145</v>
      </c>
      <c r="G366" t="s">
        <v>1146</v>
      </c>
    </row>
    <row r="367" spans="1:7" x14ac:dyDescent="0.25">
      <c r="A367" s="20" t="s">
        <v>1149</v>
      </c>
      <c r="B367" t="s">
        <v>1152</v>
      </c>
      <c r="C367" t="s">
        <v>1042</v>
      </c>
      <c r="D367" t="s">
        <v>973</v>
      </c>
      <c r="E367" s="17" t="str">
        <f t="shared" si="5"/>
        <v/>
      </c>
    </row>
    <row r="368" spans="1:7" x14ac:dyDescent="0.25">
      <c r="A368" s="20" t="s">
        <v>1154</v>
      </c>
      <c r="B368" t="s">
        <v>1156</v>
      </c>
      <c r="C368" t="s">
        <v>1042</v>
      </c>
      <c r="D368" t="s">
        <v>973</v>
      </c>
      <c r="E368" s="17" t="str">
        <f t="shared" si="5"/>
        <v/>
      </c>
    </row>
    <row r="369" spans="1:7" x14ac:dyDescent="0.25">
      <c r="A369" s="20" t="s">
        <v>1172</v>
      </c>
      <c r="B369" t="s">
        <v>1173</v>
      </c>
      <c r="C369" t="s">
        <v>1037</v>
      </c>
      <c r="D369" t="s">
        <v>934</v>
      </c>
      <c r="E369" s="17" t="str">
        <f t="shared" si="5"/>
        <v/>
      </c>
    </row>
    <row r="370" spans="1:7" x14ac:dyDescent="0.25">
      <c r="A370" t="s">
        <v>1175</v>
      </c>
      <c r="B370" t="s">
        <v>1174</v>
      </c>
      <c r="C370" t="s">
        <v>1042</v>
      </c>
      <c r="D370" t="s">
        <v>973</v>
      </c>
      <c r="E370" s="17" t="str">
        <f t="shared" si="5"/>
        <v/>
      </c>
    </row>
    <row r="371" spans="1:7" x14ac:dyDescent="0.25">
      <c r="A371" s="20" t="s">
        <v>1179</v>
      </c>
      <c r="B371" t="s">
        <v>1180</v>
      </c>
      <c r="C371" t="s">
        <v>1042</v>
      </c>
      <c r="D371" t="s">
        <v>973</v>
      </c>
      <c r="E371" s="17" t="str">
        <f t="shared" si="5"/>
        <v/>
      </c>
    </row>
    <row r="372" spans="1:7" x14ac:dyDescent="0.25">
      <c r="A372" s="20" t="s">
        <v>1184</v>
      </c>
      <c r="B372" t="s">
        <v>1183</v>
      </c>
      <c r="C372" t="s">
        <v>937</v>
      </c>
      <c r="D372" t="s">
        <v>1017</v>
      </c>
      <c r="E372" s="17" t="str">
        <f t="shared" ref="E372:E434" si="6">IF(G372="","",HYPERLINK(G372,"Link"))</f>
        <v/>
      </c>
    </row>
    <row r="373" spans="1:7" x14ac:dyDescent="0.25">
      <c r="A373" s="20" t="s">
        <v>1197</v>
      </c>
      <c r="B373" t="s">
        <v>1198</v>
      </c>
      <c r="C373" t="s">
        <v>1042</v>
      </c>
      <c r="D373" t="s">
        <v>973</v>
      </c>
      <c r="E373" s="17" t="str">
        <f t="shared" si="6"/>
        <v/>
      </c>
    </row>
    <row r="374" spans="1:7" x14ac:dyDescent="0.25">
      <c r="A374" t="s">
        <v>1312</v>
      </c>
      <c r="B374" t="s">
        <v>1201</v>
      </c>
      <c r="C374" t="s">
        <v>1040</v>
      </c>
      <c r="D374" t="s">
        <v>1200</v>
      </c>
      <c r="E374" s="17" t="str">
        <f t="shared" si="6"/>
        <v>Link</v>
      </c>
      <c r="F374" t="s">
        <v>1202</v>
      </c>
      <c r="G374" t="s">
        <v>1199</v>
      </c>
    </row>
    <row r="375" spans="1:7" x14ac:dyDescent="0.25">
      <c r="A375" s="20" t="s">
        <v>1195</v>
      </c>
      <c r="B375" t="s">
        <v>1203</v>
      </c>
      <c r="C375" t="s">
        <v>1036</v>
      </c>
      <c r="D375" t="s">
        <v>1200</v>
      </c>
      <c r="E375" s="17" t="str">
        <f t="shared" si="6"/>
        <v>Link</v>
      </c>
      <c r="F375" t="s">
        <v>1204</v>
      </c>
      <c r="G375" t="s">
        <v>1205</v>
      </c>
    </row>
    <row r="376" spans="1:7" x14ac:dyDescent="0.25">
      <c r="A376" s="20" t="s">
        <v>1211</v>
      </c>
      <c r="B376" t="s">
        <v>1212</v>
      </c>
      <c r="C376" t="s">
        <v>1042</v>
      </c>
      <c r="D376" t="s">
        <v>973</v>
      </c>
      <c r="E376" s="17" t="str">
        <f t="shared" si="6"/>
        <v/>
      </c>
    </row>
    <row r="377" spans="1:7" x14ac:dyDescent="0.25">
      <c r="A377" s="20" t="s">
        <v>1218</v>
      </c>
      <c r="B377" t="s">
        <v>1217</v>
      </c>
      <c r="C377" t="s">
        <v>1042</v>
      </c>
      <c r="D377" t="s">
        <v>971</v>
      </c>
      <c r="E377" s="17" t="str">
        <f t="shared" si="6"/>
        <v>Link</v>
      </c>
      <c r="G377" t="s">
        <v>1216</v>
      </c>
    </row>
    <row r="378" spans="1:7" x14ac:dyDescent="0.25">
      <c r="A378" s="20" t="s">
        <v>115</v>
      </c>
      <c r="B378" t="s">
        <v>369</v>
      </c>
      <c r="C378" t="s">
        <v>1036</v>
      </c>
      <c r="D378" t="s">
        <v>934</v>
      </c>
      <c r="E378" s="17" t="str">
        <f t="shared" si="6"/>
        <v/>
      </c>
      <c r="F378" t="s">
        <v>1232</v>
      </c>
    </row>
    <row r="379" spans="1:7" x14ac:dyDescent="0.25">
      <c r="A379" s="20" t="s">
        <v>1235</v>
      </c>
      <c r="B379" t="s">
        <v>1238</v>
      </c>
      <c r="C379" t="s">
        <v>1037</v>
      </c>
      <c r="D379" t="s">
        <v>1236</v>
      </c>
      <c r="E379" s="17" t="str">
        <f t="shared" si="6"/>
        <v>Link</v>
      </c>
      <c r="F379" t="s">
        <v>1234</v>
      </c>
      <c r="G379" t="s">
        <v>1233</v>
      </c>
    </row>
    <row r="380" spans="1:7" x14ac:dyDescent="0.25">
      <c r="A380" s="20" t="s">
        <v>1242</v>
      </c>
      <c r="B380" t="s">
        <v>1241</v>
      </c>
      <c r="C380" t="s">
        <v>1037</v>
      </c>
      <c r="D380" t="s">
        <v>1040</v>
      </c>
      <c r="E380" s="17" t="str">
        <f t="shared" si="6"/>
        <v>Link</v>
      </c>
      <c r="F380" t="s">
        <v>1240</v>
      </c>
      <c r="G380" t="s">
        <v>1239</v>
      </c>
    </row>
    <row r="381" spans="1:7" x14ac:dyDescent="0.25">
      <c r="A381" s="20" t="s">
        <v>1246</v>
      </c>
      <c r="B381" t="s">
        <v>1245</v>
      </c>
      <c r="C381" t="s">
        <v>1037</v>
      </c>
      <c r="D381" t="s">
        <v>1248</v>
      </c>
      <c r="E381" s="17" t="str">
        <f t="shared" si="6"/>
        <v>Link</v>
      </c>
      <c r="G381" t="s">
        <v>1244</v>
      </c>
    </row>
    <row r="382" spans="1:7" x14ac:dyDescent="0.25">
      <c r="A382" s="20" t="s">
        <v>1249</v>
      </c>
      <c r="B382" t="s">
        <v>1250</v>
      </c>
      <c r="C382" t="s">
        <v>1037</v>
      </c>
      <c r="D382" t="s">
        <v>1248</v>
      </c>
      <c r="E382" s="17" t="str">
        <f t="shared" si="6"/>
        <v/>
      </c>
    </row>
    <row r="383" spans="1:7" x14ac:dyDescent="0.25">
      <c r="A383" s="20" t="s">
        <v>22</v>
      </c>
      <c r="B383" t="s">
        <v>1255</v>
      </c>
      <c r="C383" t="s">
        <v>1042</v>
      </c>
      <c r="D383" t="s">
        <v>941</v>
      </c>
      <c r="E383" s="17" t="str">
        <f t="shared" si="6"/>
        <v/>
      </c>
    </row>
    <row r="384" spans="1:7" x14ac:dyDescent="0.25">
      <c r="A384" s="20" t="s">
        <v>1268</v>
      </c>
      <c r="B384" t="s">
        <v>1256</v>
      </c>
      <c r="C384" t="s">
        <v>1042</v>
      </c>
      <c r="D384" t="s">
        <v>1258</v>
      </c>
      <c r="E384" s="17" t="str">
        <f t="shared" si="6"/>
        <v/>
      </c>
    </row>
    <row r="385" spans="1:7" x14ac:dyDescent="0.25">
      <c r="A385" s="20" t="s">
        <v>1017</v>
      </c>
      <c r="B385" t="s">
        <v>1267</v>
      </c>
      <c r="C385" t="s">
        <v>1042</v>
      </c>
      <c r="D385" t="s">
        <v>973</v>
      </c>
      <c r="E385" s="17" t="str">
        <f t="shared" si="6"/>
        <v>Link</v>
      </c>
      <c r="G385" t="s">
        <v>1260</v>
      </c>
    </row>
    <row r="386" spans="1:7" x14ac:dyDescent="0.25">
      <c r="A386" s="20" t="s">
        <v>1265</v>
      </c>
      <c r="B386" t="s">
        <v>1264</v>
      </c>
      <c r="C386" t="s">
        <v>1042</v>
      </c>
      <c r="D386" t="s">
        <v>971</v>
      </c>
      <c r="E386" s="17" t="str">
        <f t="shared" si="6"/>
        <v>Link</v>
      </c>
      <c r="F386" t="s">
        <v>1263</v>
      </c>
      <c r="G386" t="s">
        <v>1262</v>
      </c>
    </row>
    <row r="387" spans="1:7" x14ac:dyDescent="0.25">
      <c r="A387" s="20" t="s">
        <v>1278</v>
      </c>
      <c r="B387" t="s">
        <v>1279</v>
      </c>
      <c r="C387" t="s">
        <v>1042</v>
      </c>
      <c r="D387" t="s">
        <v>971</v>
      </c>
      <c r="E387" s="17" t="str">
        <f t="shared" si="6"/>
        <v/>
      </c>
    </row>
    <row r="388" spans="1:7" x14ac:dyDescent="0.25">
      <c r="A388" s="20" t="s">
        <v>1276</v>
      </c>
      <c r="B388" t="s">
        <v>1280</v>
      </c>
      <c r="C388" t="s">
        <v>1042</v>
      </c>
      <c r="D388" t="s">
        <v>973</v>
      </c>
      <c r="E388" s="17" t="str">
        <f t="shared" si="6"/>
        <v>Link</v>
      </c>
      <c r="F388" t="s">
        <v>1281</v>
      </c>
      <c r="G388" t="s">
        <v>1282</v>
      </c>
    </row>
    <row r="389" spans="1:7" x14ac:dyDescent="0.25">
      <c r="A389" s="20" t="s">
        <v>1287</v>
      </c>
      <c r="B389" t="s">
        <v>1289</v>
      </c>
      <c r="C389" t="s">
        <v>1036</v>
      </c>
      <c r="D389" t="s">
        <v>936</v>
      </c>
      <c r="E389" s="17" t="str">
        <f t="shared" si="6"/>
        <v/>
      </c>
    </row>
    <row r="390" spans="1:7" x14ac:dyDescent="0.25">
      <c r="A390" s="20" t="s">
        <v>1288</v>
      </c>
      <c r="B390" t="s">
        <v>1290</v>
      </c>
      <c r="C390" t="s">
        <v>1036</v>
      </c>
      <c r="D390" t="s">
        <v>936</v>
      </c>
      <c r="E390" s="17" t="str">
        <f t="shared" si="6"/>
        <v/>
      </c>
    </row>
    <row r="391" spans="1:7" x14ac:dyDescent="0.25">
      <c r="A391" s="20" t="s">
        <v>1291</v>
      </c>
      <c r="B391" t="s">
        <v>1293</v>
      </c>
      <c r="C391" t="s">
        <v>1042</v>
      </c>
      <c r="D391" t="s">
        <v>973</v>
      </c>
      <c r="E391" s="17" t="str">
        <f t="shared" si="6"/>
        <v/>
      </c>
    </row>
    <row r="392" spans="1:7" x14ac:dyDescent="0.25">
      <c r="E392" s="17" t="str">
        <f t="shared" si="6"/>
        <v/>
      </c>
    </row>
    <row r="393" spans="1:7" x14ac:dyDescent="0.25">
      <c r="E393" s="17" t="str">
        <f t="shared" si="6"/>
        <v/>
      </c>
    </row>
    <row r="394" spans="1:7" x14ac:dyDescent="0.25">
      <c r="E394" s="17" t="str">
        <f t="shared" si="6"/>
        <v/>
      </c>
    </row>
    <row r="395" spans="1:7" x14ac:dyDescent="0.25">
      <c r="E395" s="17" t="str">
        <f t="shared" si="6"/>
        <v/>
      </c>
    </row>
    <row r="396" spans="1:7" x14ac:dyDescent="0.25">
      <c r="E396" s="17" t="str">
        <f t="shared" si="6"/>
        <v/>
      </c>
    </row>
    <row r="397" spans="1:7" x14ac:dyDescent="0.25">
      <c r="E397" s="17" t="str">
        <f t="shared" si="6"/>
        <v/>
      </c>
    </row>
    <row r="398" spans="1:7" x14ac:dyDescent="0.25">
      <c r="E398" s="17" t="str">
        <f t="shared" si="6"/>
        <v/>
      </c>
    </row>
    <row r="399" spans="1:7" x14ac:dyDescent="0.25">
      <c r="E399" s="17" t="str">
        <f t="shared" si="6"/>
        <v/>
      </c>
    </row>
    <row r="400" spans="1:7" x14ac:dyDescent="0.25">
      <c r="E400" s="17" t="str">
        <f t="shared" si="6"/>
        <v/>
      </c>
    </row>
    <row r="401" spans="5:5" x14ac:dyDescent="0.25">
      <c r="E401" s="17" t="str">
        <f t="shared" si="6"/>
        <v/>
      </c>
    </row>
    <row r="402" spans="5:5" x14ac:dyDescent="0.25">
      <c r="E402" s="17" t="str">
        <f t="shared" si="6"/>
        <v/>
      </c>
    </row>
    <row r="403" spans="5:5" x14ac:dyDescent="0.25">
      <c r="E403" s="17" t="str">
        <f t="shared" si="6"/>
        <v/>
      </c>
    </row>
    <row r="404" spans="5:5" x14ac:dyDescent="0.25">
      <c r="E404" s="17" t="str">
        <f t="shared" si="6"/>
        <v/>
      </c>
    </row>
    <row r="405" spans="5:5" x14ac:dyDescent="0.25">
      <c r="E405" s="17" t="str">
        <f t="shared" si="6"/>
        <v/>
      </c>
    </row>
    <row r="406" spans="5:5" x14ac:dyDescent="0.25">
      <c r="E406" s="17" t="str">
        <f t="shared" si="6"/>
        <v/>
      </c>
    </row>
    <row r="407" spans="5:5" x14ac:dyDescent="0.25">
      <c r="E407" s="17" t="str">
        <f t="shared" si="6"/>
        <v/>
      </c>
    </row>
    <row r="408" spans="5:5" x14ac:dyDescent="0.25">
      <c r="E408" s="17" t="str">
        <f t="shared" si="6"/>
        <v/>
      </c>
    </row>
    <row r="409" spans="5:5" x14ac:dyDescent="0.25">
      <c r="E409" s="17" t="str">
        <f t="shared" si="6"/>
        <v/>
      </c>
    </row>
    <row r="410" spans="5:5" x14ac:dyDescent="0.25">
      <c r="E410" s="17" t="str">
        <f t="shared" si="6"/>
        <v/>
      </c>
    </row>
    <row r="411" spans="5:5" x14ac:dyDescent="0.25">
      <c r="E411" s="17" t="str">
        <f t="shared" si="6"/>
        <v/>
      </c>
    </row>
    <row r="412" spans="5:5" x14ac:dyDescent="0.25">
      <c r="E412" s="17" t="str">
        <f t="shared" si="6"/>
        <v/>
      </c>
    </row>
    <row r="413" spans="5:5" x14ac:dyDescent="0.25">
      <c r="E413" s="17" t="str">
        <f t="shared" si="6"/>
        <v/>
      </c>
    </row>
    <row r="414" spans="5:5" x14ac:dyDescent="0.25">
      <c r="E414" s="17" t="str">
        <f t="shared" si="6"/>
        <v/>
      </c>
    </row>
    <row r="415" spans="5:5" x14ac:dyDescent="0.25">
      <c r="E415" s="17" t="str">
        <f t="shared" si="6"/>
        <v/>
      </c>
    </row>
    <row r="416" spans="5:5" x14ac:dyDescent="0.25">
      <c r="E416" s="17" t="str">
        <f t="shared" si="6"/>
        <v/>
      </c>
    </row>
    <row r="417" spans="5:5" x14ac:dyDescent="0.25">
      <c r="E417" s="17" t="str">
        <f t="shared" si="6"/>
        <v/>
      </c>
    </row>
    <row r="418" spans="5:5" x14ac:dyDescent="0.25">
      <c r="E418" s="17" t="str">
        <f t="shared" si="6"/>
        <v/>
      </c>
    </row>
    <row r="419" spans="5:5" x14ac:dyDescent="0.25">
      <c r="E419" s="17" t="str">
        <f t="shared" si="6"/>
        <v/>
      </c>
    </row>
    <row r="420" spans="5:5" x14ac:dyDescent="0.25">
      <c r="E420" s="17" t="str">
        <f t="shared" si="6"/>
        <v/>
      </c>
    </row>
    <row r="421" spans="5:5" x14ac:dyDescent="0.25">
      <c r="E421" s="17" t="str">
        <f t="shared" si="6"/>
        <v/>
      </c>
    </row>
    <row r="422" spans="5:5" x14ac:dyDescent="0.25">
      <c r="E422" s="17" t="str">
        <f t="shared" si="6"/>
        <v/>
      </c>
    </row>
    <row r="423" spans="5:5" x14ac:dyDescent="0.25">
      <c r="E423" s="17" t="str">
        <f t="shared" si="6"/>
        <v/>
      </c>
    </row>
    <row r="424" spans="5:5" x14ac:dyDescent="0.25">
      <c r="E424" s="17" t="str">
        <f t="shared" si="6"/>
        <v/>
      </c>
    </row>
    <row r="425" spans="5:5" x14ac:dyDescent="0.25">
      <c r="E425" s="17" t="str">
        <f t="shared" si="6"/>
        <v/>
      </c>
    </row>
    <row r="426" spans="5:5" x14ac:dyDescent="0.25">
      <c r="E426" s="17" t="str">
        <f t="shared" si="6"/>
        <v/>
      </c>
    </row>
    <row r="427" spans="5:5" x14ac:dyDescent="0.25">
      <c r="E427" s="17" t="str">
        <f t="shared" si="6"/>
        <v/>
      </c>
    </row>
    <row r="428" spans="5:5" x14ac:dyDescent="0.25">
      <c r="E428" s="17" t="str">
        <f t="shared" si="6"/>
        <v/>
      </c>
    </row>
    <row r="429" spans="5:5" x14ac:dyDescent="0.25">
      <c r="E429" s="17" t="str">
        <f t="shared" si="6"/>
        <v/>
      </c>
    </row>
    <row r="430" spans="5:5" x14ac:dyDescent="0.25">
      <c r="E430" s="17" t="str">
        <f t="shared" si="6"/>
        <v/>
      </c>
    </row>
    <row r="431" spans="5:5" x14ac:dyDescent="0.25">
      <c r="E431" s="17" t="str">
        <f t="shared" si="6"/>
        <v/>
      </c>
    </row>
    <row r="432" spans="5:5" x14ac:dyDescent="0.25">
      <c r="E432" s="17" t="str">
        <f t="shared" si="6"/>
        <v/>
      </c>
    </row>
    <row r="433" spans="5:5" x14ac:dyDescent="0.25">
      <c r="E433" s="17" t="str">
        <f t="shared" si="6"/>
        <v/>
      </c>
    </row>
    <row r="434" spans="5:5" x14ac:dyDescent="0.25">
      <c r="E434" s="17" t="str">
        <f t="shared" si="6"/>
        <v/>
      </c>
    </row>
    <row r="435" spans="5:5" x14ac:dyDescent="0.25">
      <c r="E435" s="17" t="str">
        <f t="shared" ref="E435:E498" si="7">IF(G435="","",HYPERLINK(G435,"Link"))</f>
        <v/>
      </c>
    </row>
    <row r="436" spans="5:5" x14ac:dyDescent="0.25">
      <c r="E436" s="17" t="str">
        <f t="shared" si="7"/>
        <v/>
      </c>
    </row>
    <row r="437" spans="5:5" x14ac:dyDescent="0.25">
      <c r="E437" s="17" t="str">
        <f t="shared" si="7"/>
        <v/>
      </c>
    </row>
    <row r="438" spans="5:5" x14ac:dyDescent="0.25">
      <c r="E438" s="17" t="str">
        <f t="shared" si="7"/>
        <v/>
      </c>
    </row>
    <row r="439" spans="5:5" x14ac:dyDescent="0.25">
      <c r="E439" s="17" t="str">
        <f t="shared" si="7"/>
        <v/>
      </c>
    </row>
    <row r="440" spans="5:5" x14ac:dyDescent="0.25">
      <c r="E440" s="17" t="str">
        <f t="shared" si="7"/>
        <v/>
      </c>
    </row>
    <row r="441" spans="5:5" x14ac:dyDescent="0.25">
      <c r="E441" s="17" t="str">
        <f t="shared" si="7"/>
        <v/>
      </c>
    </row>
    <row r="442" spans="5:5" x14ac:dyDescent="0.25">
      <c r="E442" s="17" t="str">
        <f t="shared" si="7"/>
        <v/>
      </c>
    </row>
    <row r="443" spans="5:5" x14ac:dyDescent="0.25">
      <c r="E443" s="17" t="str">
        <f t="shared" si="7"/>
        <v/>
      </c>
    </row>
    <row r="444" spans="5:5" x14ac:dyDescent="0.25">
      <c r="E444" s="17" t="str">
        <f t="shared" si="7"/>
        <v/>
      </c>
    </row>
    <row r="445" spans="5:5" x14ac:dyDescent="0.25">
      <c r="E445" s="17" t="str">
        <f t="shared" si="7"/>
        <v/>
      </c>
    </row>
    <row r="446" spans="5:5" x14ac:dyDescent="0.25">
      <c r="E446" s="17" t="str">
        <f t="shared" si="7"/>
        <v/>
      </c>
    </row>
    <row r="447" spans="5:5" x14ac:dyDescent="0.25">
      <c r="E447" s="17" t="str">
        <f t="shared" si="7"/>
        <v/>
      </c>
    </row>
    <row r="448" spans="5:5" x14ac:dyDescent="0.25">
      <c r="E448" s="17" t="str">
        <f t="shared" si="7"/>
        <v/>
      </c>
    </row>
    <row r="449" spans="5:5" x14ac:dyDescent="0.25">
      <c r="E449" s="17" t="str">
        <f t="shared" si="7"/>
        <v/>
      </c>
    </row>
    <row r="450" spans="5:5" x14ac:dyDescent="0.25">
      <c r="E450" s="17" t="str">
        <f t="shared" si="7"/>
        <v/>
      </c>
    </row>
    <row r="451" spans="5:5" x14ac:dyDescent="0.25">
      <c r="E451" s="17" t="str">
        <f t="shared" si="7"/>
        <v/>
      </c>
    </row>
    <row r="452" spans="5:5" x14ac:dyDescent="0.25">
      <c r="E452" s="17" t="str">
        <f t="shared" si="7"/>
        <v/>
      </c>
    </row>
    <row r="453" spans="5:5" x14ac:dyDescent="0.25">
      <c r="E453" s="17" t="str">
        <f t="shared" si="7"/>
        <v/>
      </c>
    </row>
    <row r="454" spans="5:5" x14ac:dyDescent="0.25">
      <c r="E454" s="17" t="str">
        <f t="shared" si="7"/>
        <v/>
      </c>
    </row>
    <row r="455" spans="5:5" x14ac:dyDescent="0.25">
      <c r="E455" s="17" t="str">
        <f t="shared" si="7"/>
        <v/>
      </c>
    </row>
    <row r="456" spans="5:5" x14ac:dyDescent="0.25">
      <c r="E456" s="17" t="str">
        <f t="shared" si="7"/>
        <v/>
      </c>
    </row>
    <row r="457" spans="5:5" x14ac:dyDescent="0.25">
      <c r="E457" s="17" t="str">
        <f t="shared" si="7"/>
        <v/>
      </c>
    </row>
    <row r="458" spans="5:5" x14ac:dyDescent="0.25">
      <c r="E458" s="17" t="str">
        <f t="shared" si="7"/>
        <v/>
      </c>
    </row>
    <row r="459" spans="5:5" x14ac:dyDescent="0.25">
      <c r="E459" s="17" t="str">
        <f t="shared" si="7"/>
        <v/>
      </c>
    </row>
    <row r="460" spans="5:5" x14ac:dyDescent="0.25">
      <c r="E460" s="17" t="str">
        <f t="shared" si="7"/>
        <v/>
      </c>
    </row>
    <row r="461" spans="5:5" x14ac:dyDescent="0.25">
      <c r="E461" s="17" t="str">
        <f t="shared" si="7"/>
        <v/>
      </c>
    </row>
    <row r="462" spans="5:5" x14ac:dyDescent="0.25">
      <c r="E462" s="17" t="str">
        <f t="shared" si="7"/>
        <v/>
      </c>
    </row>
    <row r="463" spans="5:5" x14ac:dyDescent="0.25">
      <c r="E463" s="17" t="str">
        <f t="shared" si="7"/>
        <v/>
      </c>
    </row>
    <row r="464" spans="5:5" x14ac:dyDescent="0.25">
      <c r="E464" s="17" t="str">
        <f t="shared" si="7"/>
        <v/>
      </c>
    </row>
    <row r="465" spans="5:5" x14ac:dyDescent="0.25">
      <c r="E465" s="17" t="str">
        <f t="shared" si="7"/>
        <v/>
      </c>
    </row>
    <row r="466" spans="5:5" x14ac:dyDescent="0.25">
      <c r="E466" s="17" t="str">
        <f t="shared" si="7"/>
        <v/>
      </c>
    </row>
    <row r="467" spans="5:5" x14ac:dyDescent="0.25">
      <c r="E467" s="17" t="str">
        <f t="shared" si="7"/>
        <v/>
      </c>
    </row>
    <row r="468" spans="5:5" x14ac:dyDescent="0.25">
      <c r="E468" s="17" t="str">
        <f t="shared" si="7"/>
        <v/>
      </c>
    </row>
    <row r="469" spans="5:5" x14ac:dyDescent="0.25">
      <c r="E469" s="17" t="str">
        <f t="shared" si="7"/>
        <v/>
      </c>
    </row>
    <row r="470" spans="5:5" x14ac:dyDescent="0.25">
      <c r="E470" s="17" t="str">
        <f t="shared" si="7"/>
        <v/>
      </c>
    </row>
    <row r="471" spans="5:5" x14ac:dyDescent="0.25">
      <c r="E471" s="17" t="str">
        <f t="shared" si="7"/>
        <v/>
      </c>
    </row>
    <row r="472" spans="5:5" x14ac:dyDescent="0.25">
      <c r="E472" s="17" t="str">
        <f t="shared" si="7"/>
        <v/>
      </c>
    </row>
    <row r="473" spans="5:5" x14ac:dyDescent="0.25">
      <c r="E473" s="17" t="str">
        <f t="shared" si="7"/>
        <v/>
      </c>
    </row>
    <row r="474" spans="5:5" x14ac:dyDescent="0.25">
      <c r="E474" s="17" t="str">
        <f t="shared" si="7"/>
        <v/>
      </c>
    </row>
    <row r="475" spans="5:5" x14ac:dyDescent="0.25">
      <c r="E475" s="17" t="str">
        <f t="shared" si="7"/>
        <v/>
      </c>
    </row>
    <row r="476" spans="5:5" x14ac:dyDescent="0.25">
      <c r="E476" s="17" t="str">
        <f t="shared" si="7"/>
        <v/>
      </c>
    </row>
    <row r="477" spans="5:5" x14ac:dyDescent="0.25">
      <c r="E477" s="17" t="str">
        <f t="shared" si="7"/>
        <v/>
      </c>
    </row>
    <row r="478" spans="5:5" x14ac:dyDescent="0.25">
      <c r="E478" s="17" t="str">
        <f t="shared" si="7"/>
        <v/>
      </c>
    </row>
    <row r="479" spans="5:5" x14ac:dyDescent="0.25">
      <c r="E479" s="17" t="str">
        <f t="shared" si="7"/>
        <v/>
      </c>
    </row>
    <row r="480" spans="5:5" x14ac:dyDescent="0.25">
      <c r="E480" s="17" t="str">
        <f t="shared" si="7"/>
        <v/>
      </c>
    </row>
    <row r="481" spans="5:5" x14ac:dyDescent="0.25">
      <c r="E481" s="17" t="str">
        <f t="shared" si="7"/>
        <v/>
      </c>
    </row>
    <row r="482" spans="5:5" x14ac:dyDescent="0.25">
      <c r="E482" s="17" t="str">
        <f t="shared" si="7"/>
        <v/>
      </c>
    </row>
    <row r="483" spans="5:5" x14ac:dyDescent="0.25">
      <c r="E483" s="17" t="str">
        <f t="shared" si="7"/>
        <v/>
      </c>
    </row>
    <row r="484" spans="5:5" x14ac:dyDescent="0.25">
      <c r="E484" s="17" t="str">
        <f t="shared" si="7"/>
        <v/>
      </c>
    </row>
    <row r="485" spans="5:5" x14ac:dyDescent="0.25">
      <c r="E485" s="17" t="str">
        <f t="shared" si="7"/>
        <v/>
      </c>
    </row>
    <row r="486" spans="5:5" x14ac:dyDescent="0.25">
      <c r="E486" s="17" t="str">
        <f t="shared" si="7"/>
        <v/>
      </c>
    </row>
    <row r="487" spans="5:5" x14ac:dyDescent="0.25">
      <c r="E487" s="17" t="str">
        <f t="shared" si="7"/>
        <v/>
      </c>
    </row>
    <row r="488" spans="5:5" x14ac:dyDescent="0.25">
      <c r="E488" s="17" t="str">
        <f t="shared" si="7"/>
        <v/>
      </c>
    </row>
    <row r="489" spans="5:5" x14ac:dyDescent="0.25">
      <c r="E489" s="17" t="str">
        <f t="shared" si="7"/>
        <v/>
      </c>
    </row>
    <row r="490" spans="5:5" x14ac:dyDescent="0.25">
      <c r="E490" s="17" t="str">
        <f t="shared" si="7"/>
        <v/>
      </c>
    </row>
    <row r="491" spans="5:5" x14ac:dyDescent="0.25">
      <c r="E491" s="17" t="str">
        <f t="shared" si="7"/>
        <v/>
      </c>
    </row>
    <row r="492" spans="5:5" x14ac:dyDescent="0.25">
      <c r="E492" s="17" t="str">
        <f t="shared" si="7"/>
        <v/>
      </c>
    </row>
    <row r="493" spans="5:5" x14ac:dyDescent="0.25">
      <c r="E493" s="17" t="str">
        <f t="shared" si="7"/>
        <v/>
      </c>
    </row>
    <row r="494" spans="5:5" x14ac:dyDescent="0.25">
      <c r="E494" s="17" t="str">
        <f t="shared" si="7"/>
        <v/>
      </c>
    </row>
    <row r="495" spans="5:5" x14ac:dyDescent="0.25">
      <c r="E495" s="17" t="str">
        <f t="shared" si="7"/>
        <v/>
      </c>
    </row>
    <row r="496" spans="5:5" x14ac:dyDescent="0.25">
      <c r="E496" s="17" t="str">
        <f t="shared" si="7"/>
        <v/>
      </c>
    </row>
    <row r="497" spans="5:5" x14ac:dyDescent="0.25">
      <c r="E497" s="17" t="str">
        <f t="shared" si="7"/>
        <v/>
      </c>
    </row>
    <row r="498" spans="5:5" x14ac:dyDescent="0.25">
      <c r="E498" s="17" t="str">
        <f t="shared" si="7"/>
        <v/>
      </c>
    </row>
    <row r="499" spans="5:5" x14ac:dyDescent="0.25">
      <c r="E499" s="17" t="str">
        <f t="shared" ref="E499:E562" si="8">IF(G499="","",HYPERLINK(G499,"Link"))</f>
        <v/>
      </c>
    </row>
    <row r="500" spans="5:5" x14ac:dyDescent="0.25">
      <c r="E500" s="17" t="str">
        <f t="shared" si="8"/>
        <v/>
      </c>
    </row>
    <row r="501" spans="5:5" x14ac:dyDescent="0.25">
      <c r="E501" s="17" t="str">
        <f t="shared" si="8"/>
        <v/>
      </c>
    </row>
    <row r="502" spans="5:5" x14ac:dyDescent="0.25">
      <c r="E502" s="17" t="str">
        <f t="shared" si="8"/>
        <v/>
      </c>
    </row>
    <row r="503" spans="5:5" x14ac:dyDescent="0.25">
      <c r="E503" s="17" t="str">
        <f t="shared" si="8"/>
        <v/>
      </c>
    </row>
    <row r="504" spans="5:5" x14ac:dyDescent="0.25">
      <c r="E504" s="17" t="str">
        <f t="shared" si="8"/>
        <v/>
      </c>
    </row>
    <row r="505" spans="5:5" x14ac:dyDescent="0.25">
      <c r="E505" s="17" t="str">
        <f t="shared" si="8"/>
        <v/>
      </c>
    </row>
    <row r="506" spans="5:5" x14ac:dyDescent="0.25">
      <c r="E506" s="17" t="str">
        <f t="shared" si="8"/>
        <v/>
      </c>
    </row>
    <row r="507" spans="5:5" x14ac:dyDescent="0.25">
      <c r="E507" s="17" t="str">
        <f t="shared" si="8"/>
        <v/>
      </c>
    </row>
    <row r="508" spans="5:5" x14ac:dyDescent="0.25">
      <c r="E508" s="17" t="str">
        <f t="shared" si="8"/>
        <v/>
      </c>
    </row>
    <row r="509" spans="5:5" x14ac:dyDescent="0.25">
      <c r="E509" s="17" t="str">
        <f t="shared" si="8"/>
        <v/>
      </c>
    </row>
    <row r="510" spans="5:5" x14ac:dyDescent="0.25">
      <c r="E510" s="17" t="str">
        <f t="shared" si="8"/>
        <v/>
      </c>
    </row>
    <row r="511" spans="5:5" x14ac:dyDescent="0.25">
      <c r="E511" s="17" t="str">
        <f t="shared" si="8"/>
        <v/>
      </c>
    </row>
    <row r="512" spans="5:5" x14ac:dyDescent="0.25">
      <c r="E512" s="17" t="str">
        <f t="shared" si="8"/>
        <v/>
      </c>
    </row>
    <row r="513" spans="5:5" x14ac:dyDescent="0.25">
      <c r="E513" s="17" t="str">
        <f t="shared" si="8"/>
        <v/>
      </c>
    </row>
    <row r="514" spans="5:5" x14ac:dyDescent="0.25">
      <c r="E514" s="17" t="str">
        <f t="shared" si="8"/>
        <v/>
      </c>
    </row>
    <row r="515" spans="5:5" x14ac:dyDescent="0.25">
      <c r="E515" s="17" t="str">
        <f t="shared" si="8"/>
        <v/>
      </c>
    </row>
    <row r="516" spans="5:5" x14ac:dyDescent="0.25">
      <c r="E516" s="17" t="str">
        <f t="shared" si="8"/>
        <v/>
      </c>
    </row>
    <row r="517" spans="5:5" x14ac:dyDescent="0.25">
      <c r="E517" s="17" t="str">
        <f t="shared" si="8"/>
        <v/>
      </c>
    </row>
    <row r="518" spans="5:5" x14ac:dyDescent="0.25">
      <c r="E518" s="17" t="str">
        <f t="shared" si="8"/>
        <v/>
      </c>
    </row>
    <row r="519" spans="5:5" x14ac:dyDescent="0.25">
      <c r="E519" s="17" t="str">
        <f t="shared" si="8"/>
        <v/>
      </c>
    </row>
    <row r="520" spans="5:5" x14ac:dyDescent="0.25">
      <c r="E520" s="17" t="str">
        <f t="shared" si="8"/>
        <v/>
      </c>
    </row>
    <row r="521" spans="5:5" x14ac:dyDescent="0.25">
      <c r="E521" s="17" t="str">
        <f t="shared" si="8"/>
        <v/>
      </c>
    </row>
    <row r="522" spans="5:5" x14ac:dyDescent="0.25">
      <c r="E522" s="17" t="str">
        <f t="shared" si="8"/>
        <v/>
      </c>
    </row>
    <row r="523" spans="5:5" x14ac:dyDescent="0.25">
      <c r="E523" s="17" t="str">
        <f t="shared" si="8"/>
        <v/>
      </c>
    </row>
    <row r="524" spans="5:5" x14ac:dyDescent="0.25">
      <c r="E524" s="17" t="str">
        <f t="shared" si="8"/>
        <v/>
      </c>
    </row>
    <row r="525" spans="5:5" x14ac:dyDescent="0.25">
      <c r="E525" s="17" t="str">
        <f t="shared" si="8"/>
        <v/>
      </c>
    </row>
    <row r="526" spans="5:5" x14ac:dyDescent="0.25">
      <c r="E526" s="17" t="str">
        <f t="shared" si="8"/>
        <v/>
      </c>
    </row>
    <row r="527" spans="5:5" x14ac:dyDescent="0.25">
      <c r="E527" s="17" t="str">
        <f t="shared" si="8"/>
        <v/>
      </c>
    </row>
    <row r="528" spans="5:5" x14ac:dyDescent="0.25">
      <c r="E528" s="17" t="str">
        <f t="shared" si="8"/>
        <v/>
      </c>
    </row>
    <row r="529" spans="5:5" x14ac:dyDescent="0.25">
      <c r="E529" s="17" t="str">
        <f t="shared" si="8"/>
        <v/>
      </c>
    </row>
    <row r="530" spans="5:5" x14ac:dyDescent="0.25">
      <c r="E530" s="17" t="str">
        <f t="shared" si="8"/>
        <v/>
      </c>
    </row>
    <row r="531" spans="5:5" x14ac:dyDescent="0.25">
      <c r="E531" s="17" t="str">
        <f t="shared" si="8"/>
        <v/>
      </c>
    </row>
    <row r="532" spans="5:5" x14ac:dyDescent="0.25">
      <c r="E532" s="17" t="str">
        <f t="shared" si="8"/>
        <v/>
      </c>
    </row>
    <row r="533" spans="5:5" x14ac:dyDescent="0.25">
      <c r="E533" s="17" t="str">
        <f t="shared" si="8"/>
        <v/>
      </c>
    </row>
    <row r="534" spans="5:5" x14ac:dyDescent="0.25">
      <c r="E534" s="17" t="str">
        <f t="shared" si="8"/>
        <v/>
      </c>
    </row>
    <row r="535" spans="5:5" x14ac:dyDescent="0.25">
      <c r="E535" s="17" t="str">
        <f t="shared" si="8"/>
        <v/>
      </c>
    </row>
    <row r="536" spans="5:5" x14ac:dyDescent="0.25">
      <c r="E536" s="17" t="str">
        <f t="shared" si="8"/>
        <v/>
      </c>
    </row>
    <row r="537" spans="5:5" x14ac:dyDescent="0.25">
      <c r="E537" s="17" t="str">
        <f t="shared" si="8"/>
        <v/>
      </c>
    </row>
    <row r="538" spans="5:5" x14ac:dyDescent="0.25">
      <c r="E538" s="17" t="str">
        <f t="shared" si="8"/>
        <v/>
      </c>
    </row>
    <row r="539" spans="5:5" x14ac:dyDescent="0.25">
      <c r="E539" s="17" t="str">
        <f t="shared" si="8"/>
        <v/>
      </c>
    </row>
    <row r="540" spans="5:5" x14ac:dyDescent="0.25">
      <c r="E540" s="17" t="str">
        <f t="shared" si="8"/>
        <v/>
      </c>
    </row>
    <row r="541" spans="5:5" x14ac:dyDescent="0.25">
      <c r="E541" s="17" t="str">
        <f t="shared" si="8"/>
        <v/>
      </c>
    </row>
    <row r="542" spans="5:5" x14ac:dyDescent="0.25">
      <c r="E542" s="17" t="str">
        <f t="shared" si="8"/>
        <v/>
      </c>
    </row>
    <row r="543" spans="5:5" x14ac:dyDescent="0.25">
      <c r="E543" s="17" t="str">
        <f t="shared" si="8"/>
        <v/>
      </c>
    </row>
    <row r="544" spans="5:5" x14ac:dyDescent="0.25">
      <c r="E544" s="17" t="str">
        <f t="shared" si="8"/>
        <v/>
      </c>
    </row>
    <row r="545" spans="5:5" x14ac:dyDescent="0.25">
      <c r="E545" s="17" t="str">
        <f t="shared" si="8"/>
        <v/>
      </c>
    </row>
    <row r="546" spans="5:5" x14ac:dyDescent="0.25">
      <c r="E546" s="17" t="str">
        <f t="shared" si="8"/>
        <v/>
      </c>
    </row>
    <row r="547" spans="5:5" x14ac:dyDescent="0.25">
      <c r="E547" s="17" t="str">
        <f t="shared" si="8"/>
        <v/>
      </c>
    </row>
    <row r="548" spans="5:5" x14ac:dyDescent="0.25">
      <c r="E548" s="17" t="str">
        <f t="shared" si="8"/>
        <v/>
      </c>
    </row>
    <row r="549" spans="5:5" x14ac:dyDescent="0.25">
      <c r="E549" s="17" t="str">
        <f t="shared" si="8"/>
        <v/>
      </c>
    </row>
    <row r="550" spans="5:5" x14ac:dyDescent="0.25">
      <c r="E550" s="17" t="str">
        <f t="shared" si="8"/>
        <v/>
      </c>
    </row>
    <row r="551" spans="5:5" x14ac:dyDescent="0.25">
      <c r="E551" s="17" t="str">
        <f t="shared" si="8"/>
        <v/>
      </c>
    </row>
    <row r="552" spans="5:5" x14ac:dyDescent="0.25">
      <c r="E552" s="17" t="str">
        <f t="shared" si="8"/>
        <v/>
      </c>
    </row>
    <row r="553" spans="5:5" x14ac:dyDescent="0.25">
      <c r="E553" s="17" t="str">
        <f t="shared" si="8"/>
        <v/>
      </c>
    </row>
    <row r="554" spans="5:5" x14ac:dyDescent="0.25">
      <c r="E554" s="17" t="str">
        <f t="shared" si="8"/>
        <v/>
      </c>
    </row>
    <row r="555" spans="5:5" x14ac:dyDescent="0.25">
      <c r="E555" s="17" t="str">
        <f t="shared" si="8"/>
        <v/>
      </c>
    </row>
    <row r="556" spans="5:5" x14ac:dyDescent="0.25">
      <c r="E556" s="17" t="str">
        <f t="shared" si="8"/>
        <v/>
      </c>
    </row>
    <row r="557" spans="5:5" x14ac:dyDescent="0.25">
      <c r="E557" s="17" t="str">
        <f t="shared" si="8"/>
        <v/>
      </c>
    </row>
    <row r="558" spans="5:5" x14ac:dyDescent="0.25">
      <c r="E558" s="17" t="str">
        <f t="shared" si="8"/>
        <v/>
      </c>
    </row>
    <row r="559" spans="5:5" x14ac:dyDescent="0.25">
      <c r="E559" s="17" t="str">
        <f t="shared" si="8"/>
        <v/>
      </c>
    </row>
    <row r="560" spans="5:5" x14ac:dyDescent="0.25">
      <c r="E560" s="17" t="str">
        <f t="shared" si="8"/>
        <v/>
      </c>
    </row>
    <row r="561" spans="5:5" x14ac:dyDescent="0.25">
      <c r="E561" s="17" t="str">
        <f t="shared" si="8"/>
        <v/>
      </c>
    </row>
    <row r="562" spans="5:5" x14ac:dyDescent="0.25">
      <c r="E562" s="17" t="str">
        <f t="shared" si="8"/>
        <v/>
      </c>
    </row>
    <row r="563" spans="5:5" x14ac:dyDescent="0.25">
      <c r="E563" s="17" t="str">
        <f t="shared" ref="E563:E626" si="9">IF(G563="","",HYPERLINK(G563,"Link"))</f>
        <v/>
      </c>
    </row>
    <row r="564" spans="5:5" x14ac:dyDescent="0.25">
      <c r="E564" s="17" t="str">
        <f t="shared" si="9"/>
        <v/>
      </c>
    </row>
    <row r="565" spans="5:5" x14ac:dyDescent="0.25">
      <c r="E565" s="17" t="str">
        <f t="shared" si="9"/>
        <v/>
      </c>
    </row>
    <row r="566" spans="5:5" x14ac:dyDescent="0.25">
      <c r="E566" s="17" t="str">
        <f t="shared" si="9"/>
        <v/>
      </c>
    </row>
    <row r="567" spans="5:5" x14ac:dyDescent="0.25">
      <c r="E567" s="17" t="str">
        <f t="shared" si="9"/>
        <v/>
      </c>
    </row>
    <row r="568" spans="5:5" x14ac:dyDescent="0.25">
      <c r="E568" s="17" t="str">
        <f t="shared" si="9"/>
        <v/>
      </c>
    </row>
    <row r="569" spans="5:5" x14ac:dyDescent="0.25">
      <c r="E569" s="17" t="str">
        <f t="shared" si="9"/>
        <v/>
      </c>
    </row>
    <row r="570" spans="5:5" x14ac:dyDescent="0.25">
      <c r="E570" s="17" t="str">
        <f t="shared" si="9"/>
        <v/>
      </c>
    </row>
    <row r="571" spans="5:5" x14ac:dyDescent="0.25">
      <c r="E571" s="17" t="str">
        <f t="shared" si="9"/>
        <v/>
      </c>
    </row>
    <row r="572" spans="5:5" x14ac:dyDescent="0.25">
      <c r="E572" s="17" t="str">
        <f t="shared" si="9"/>
        <v/>
      </c>
    </row>
    <row r="573" spans="5:5" x14ac:dyDescent="0.25">
      <c r="E573" s="17" t="str">
        <f t="shared" si="9"/>
        <v/>
      </c>
    </row>
    <row r="574" spans="5:5" x14ac:dyDescent="0.25">
      <c r="E574" s="17" t="str">
        <f t="shared" si="9"/>
        <v/>
      </c>
    </row>
    <row r="575" spans="5:5" x14ac:dyDescent="0.25">
      <c r="E575" s="17" t="str">
        <f t="shared" si="9"/>
        <v/>
      </c>
    </row>
    <row r="576" spans="5:5" x14ac:dyDescent="0.25">
      <c r="E576" s="17" t="str">
        <f t="shared" si="9"/>
        <v/>
      </c>
    </row>
    <row r="577" spans="5:5" x14ac:dyDescent="0.25">
      <c r="E577" s="17" t="str">
        <f t="shared" si="9"/>
        <v/>
      </c>
    </row>
    <row r="578" spans="5:5" x14ac:dyDescent="0.25">
      <c r="E578" s="17" t="str">
        <f t="shared" si="9"/>
        <v/>
      </c>
    </row>
    <row r="579" spans="5:5" x14ac:dyDescent="0.25">
      <c r="E579" s="17" t="str">
        <f t="shared" si="9"/>
        <v/>
      </c>
    </row>
    <row r="580" spans="5:5" x14ac:dyDescent="0.25">
      <c r="E580" s="17" t="str">
        <f t="shared" si="9"/>
        <v/>
      </c>
    </row>
    <row r="581" spans="5:5" x14ac:dyDescent="0.25">
      <c r="E581" s="17" t="str">
        <f t="shared" si="9"/>
        <v/>
      </c>
    </row>
    <row r="582" spans="5:5" x14ac:dyDescent="0.25">
      <c r="E582" s="17" t="str">
        <f t="shared" si="9"/>
        <v/>
      </c>
    </row>
    <row r="583" spans="5:5" x14ac:dyDescent="0.25">
      <c r="E583" s="17" t="str">
        <f t="shared" si="9"/>
        <v/>
      </c>
    </row>
    <row r="584" spans="5:5" x14ac:dyDescent="0.25">
      <c r="E584" s="17" t="str">
        <f t="shared" si="9"/>
        <v/>
      </c>
    </row>
    <row r="585" spans="5:5" x14ac:dyDescent="0.25">
      <c r="E585" s="17" t="str">
        <f t="shared" si="9"/>
        <v/>
      </c>
    </row>
    <row r="586" spans="5:5" x14ac:dyDescent="0.25">
      <c r="E586" s="17" t="str">
        <f t="shared" si="9"/>
        <v/>
      </c>
    </row>
    <row r="587" spans="5:5" x14ac:dyDescent="0.25">
      <c r="E587" s="17" t="str">
        <f t="shared" si="9"/>
        <v/>
      </c>
    </row>
    <row r="588" spans="5:5" x14ac:dyDescent="0.25">
      <c r="E588" s="17" t="str">
        <f t="shared" si="9"/>
        <v/>
      </c>
    </row>
    <row r="589" spans="5:5" x14ac:dyDescent="0.25">
      <c r="E589" s="17" t="str">
        <f t="shared" si="9"/>
        <v/>
      </c>
    </row>
    <row r="590" spans="5:5" x14ac:dyDescent="0.25">
      <c r="E590" s="17" t="str">
        <f t="shared" si="9"/>
        <v/>
      </c>
    </row>
    <row r="591" spans="5:5" x14ac:dyDescent="0.25">
      <c r="E591" s="17" t="str">
        <f t="shared" si="9"/>
        <v/>
      </c>
    </row>
    <row r="592" spans="5:5" x14ac:dyDescent="0.25">
      <c r="E592" s="17" t="str">
        <f t="shared" si="9"/>
        <v/>
      </c>
    </row>
    <row r="593" spans="5:5" x14ac:dyDescent="0.25">
      <c r="E593" s="17" t="str">
        <f t="shared" si="9"/>
        <v/>
      </c>
    </row>
    <row r="594" spans="5:5" x14ac:dyDescent="0.25">
      <c r="E594" s="17" t="str">
        <f t="shared" si="9"/>
        <v/>
      </c>
    </row>
    <row r="595" spans="5:5" x14ac:dyDescent="0.25">
      <c r="E595" s="17" t="str">
        <f t="shared" si="9"/>
        <v/>
      </c>
    </row>
    <row r="596" spans="5:5" x14ac:dyDescent="0.25">
      <c r="E596" s="17" t="str">
        <f t="shared" si="9"/>
        <v/>
      </c>
    </row>
    <row r="597" spans="5:5" x14ac:dyDescent="0.25">
      <c r="E597" s="17" t="str">
        <f t="shared" si="9"/>
        <v/>
      </c>
    </row>
    <row r="598" spans="5:5" x14ac:dyDescent="0.25">
      <c r="E598" s="17" t="str">
        <f t="shared" si="9"/>
        <v/>
      </c>
    </row>
    <row r="599" spans="5:5" x14ac:dyDescent="0.25">
      <c r="E599" s="17" t="str">
        <f t="shared" si="9"/>
        <v/>
      </c>
    </row>
    <row r="600" spans="5:5" x14ac:dyDescent="0.25">
      <c r="E600" s="17" t="str">
        <f t="shared" si="9"/>
        <v/>
      </c>
    </row>
    <row r="601" spans="5:5" x14ac:dyDescent="0.25">
      <c r="E601" s="17" t="str">
        <f t="shared" si="9"/>
        <v/>
      </c>
    </row>
    <row r="602" spans="5:5" x14ac:dyDescent="0.25">
      <c r="E602" s="17" t="str">
        <f t="shared" si="9"/>
        <v/>
      </c>
    </row>
    <row r="603" spans="5:5" x14ac:dyDescent="0.25">
      <c r="E603" s="17" t="str">
        <f t="shared" si="9"/>
        <v/>
      </c>
    </row>
    <row r="604" spans="5:5" x14ac:dyDescent="0.25">
      <c r="E604" s="17" t="str">
        <f t="shared" si="9"/>
        <v/>
      </c>
    </row>
    <row r="605" spans="5:5" x14ac:dyDescent="0.25">
      <c r="E605" s="17" t="str">
        <f t="shared" si="9"/>
        <v/>
      </c>
    </row>
    <row r="606" spans="5:5" x14ac:dyDescent="0.25">
      <c r="E606" s="17" t="str">
        <f t="shared" si="9"/>
        <v/>
      </c>
    </row>
    <row r="607" spans="5:5" x14ac:dyDescent="0.25">
      <c r="E607" s="17" t="str">
        <f t="shared" si="9"/>
        <v/>
      </c>
    </row>
    <row r="608" spans="5:5" x14ac:dyDescent="0.25">
      <c r="E608" s="17" t="str">
        <f t="shared" si="9"/>
        <v/>
      </c>
    </row>
    <row r="609" spans="5:5" x14ac:dyDescent="0.25">
      <c r="E609" s="17" t="str">
        <f t="shared" si="9"/>
        <v/>
      </c>
    </row>
    <row r="610" spans="5:5" x14ac:dyDescent="0.25">
      <c r="E610" s="17" t="str">
        <f t="shared" si="9"/>
        <v/>
      </c>
    </row>
    <row r="611" spans="5:5" x14ac:dyDescent="0.25">
      <c r="E611" s="17" t="str">
        <f t="shared" si="9"/>
        <v/>
      </c>
    </row>
    <row r="612" spans="5:5" x14ac:dyDescent="0.25">
      <c r="E612" s="17" t="str">
        <f t="shared" si="9"/>
        <v/>
      </c>
    </row>
    <row r="613" spans="5:5" x14ac:dyDescent="0.25">
      <c r="E613" s="17" t="str">
        <f t="shared" si="9"/>
        <v/>
      </c>
    </row>
    <row r="614" spans="5:5" x14ac:dyDescent="0.25">
      <c r="E614" s="17" t="str">
        <f t="shared" si="9"/>
        <v/>
      </c>
    </row>
    <row r="615" spans="5:5" x14ac:dyDescent="0.25">
      <c r="E615" s="17" t="str">
        <f t="shared" si="9"/>
        <v/>
      </c>
    </row>
    <row r="616" spans="5:5" x14ac:dyDescent="0.25">
      <c r="E616" s="17" t="str">
        <f t="shared" si="9"/>
        <v/>
      </c>
    </row>
    <row r="617" spans="5:5" x14ac:dyDescent="0.25">
      <c r="E617" s="17" t="str">
        <f t="shared" si="9"/>
        <v/>
      </c>
    </row>
    <row r="618" spans="5:5" x14ac:dyDescent="0.25">
      <c r="E618" s="17" t="str">
        <f t="shared" si="9"/>
        <v/>
      </c>
    </row>
    <row r="619" spans="5:5" x14ac:dyDescent="0.25">
      <c r="E619" s="17" t="str">
        <f t="shared" si="9"/>
        <v/>
      </c>
    </row>
    <row r="620" spans="5:5" x14ac:dyDescent="0.25">
      <c r="E620" s="17" t="str">
        <f t="shared" si="9"/>
        <v/>
      </c>
    </row>
    <row r="621" spans="5:5" x14ac:dyDescent="0.25">
      <c r="E621" s="17" t="str">
        <f t="shared" si="9"/>
        <v/>
      </c>
    </row>
    <row r="622" spans="5:5" x14ac:dyDescent="0.25">
      <c r="E622" s="17" t="str">
        <f t="shared" si="9"/>
        <v/>
      </c>
    </row>
    <row r="623" spans="5:5" x14ac:dyDescent="0.25">
      <c r="E623" s="17" t="str">
        <f t="shared" si="9"/>
        <v/>
      </c>
    </row>
    <row r="624" spans="5:5" x14ac:dyDescent="0.25">
      <c r="E624" s="17" t="str">
        <f t="shared" si="9"/>
        <v/>
      </c>
    </row>
    <row r="625" spans="5:5" x14ac:dyDescent="0.25">
      <c r="E625" s="17" t="str">
        <f t="shared" si="9"/>
        <v/>
      </c>
    </row>
    <row r="626" spans="5:5" x14ac:dyDescent="0.25">
      <c r="E626" s="17" t="str">
        <f t="shared" si="9"/>
        <v/>
      </c>
    </row>
    <row r="627" spans="5:5" x14ac:dyDescent="0.25">
      <c r="E627" s="17" t="str">
        <f t="shared" ref="E627:E690" si="10">IF(G627="","",HYPERLINK(G627,"Link"))</f>
        <v/>
      </c>
    </row>
    <row r="628" spans="5:5" x14ac:dyDescent="0.25">
      <c r="E628" s="17" t="str">
        <f t="shared" si="10"/>
        <v/>
      </c>
    </row>
    <row r="629" spans="5:5" x14ac:dyDescent="0.25">
      <c r="E629" s="17" t="str">
        <f t="shared" si="10"/>
        <v/>
      </c>
    </row>
    <row r="630" spans="5:5" x14ac:dyDescent="0.25">
      <c r="E630" s="17" t="str">
        <f t="shared" si="10"/>
        <v/>
      </c>
    </row>
    <row r="631" spans="5:5" x14ac:dyDescent="0.25">
      <c r="E631" s="17" t="str">
        <f t="shared" si="10"/>
        <v/>
      </c>
    </row>
    <row r="632" spans="5:5" x14ac:dyDescent="0.25">
      <c r="E632" s="17" t="str">
        <f t="shared" si="10"/>
        <v/>
      </c>
    </row>
    <row r="633" spans="5:5" x14ac:dyDescent="0.25">
      <c r="E633" s="17" t="str">
        <f t="shared" si="10"/>
        <v/>
      </c>
    </row>
    <row r="634" spans="5:5" x14ac:dyDescent="0.25">
      <c r="E634" s="17" t="str">
        <f t="shared" si="10"/>
        <v/>
      </c>
    </row>
    <row r="635" spans="5:5" x14ac:dyDescent="0.25">
      <c r="E635" s="17" t="str">
        <f t="shared" si="10"/>
        <v/>
      </c>
    </row>
    <row r="636" spans="5:5" x14ac:dyDescent="0.25">
      <c r="E636" s="17" t="str">
        <f t="shared" si="10"/>
        <v/>
      </c>
    </row>
    <row r="637" spans="5:5" x14ac:dyDescent="0.25">
      <c r="E637" s="17" t="str">
        <f t="shared" si="10"/>
        <v/>
      </c>
    </row>
    <row r="638" spans="5:5" x14ac:dyDescent="0.25">
      <c r="E638" s="17" t="str">
        <f t="shared" si="10"/>
        <v/>
      </c>
    </row>
    <row r="639" spans="5:5" x14ac:dyDescent="0.25">
      <c r="E639" s="17" t="str">
        <f t="shared" si="10"/>
        <v/>
      </c>
    </row>
    <row r="640" spans="5:5" x14ac:dyDescent="0.25">
      <c r="E640" s="17" t="str">
        <f t="shared" si="10"/>
        <v/>
      </c>
    </row>
    <row r="641" spans="5:5" x14ac:dyDescent="0.25">
      <c r="E641" s="17" t="str">
        <f t="shared" si="10"/>
        <v/>
      </c>
    </row>
    <row r="642" spans="5:5" x14ac:dyDescent="0.25">
      <c r="E642" s="17" t="str">
        <f t="shared" si="10"/>
        <v/>
      </c>
    </row>
    <row r="643" spans="5:5" x14ac:dyDescent="0.25">
      <c r="E643" s="17" t="str">
        <f t="shared" si="10"/>
        <v/>
      </c>
    </row>
    <row r="644" spans="5:5" x14ac:dyDescent="0.25">
      <c r="E644" s="17" t="str">
        <f t="shared" si="10"/>
        <v/>
      </c>
    </row>
    <row r="645" spans="5:5" x14ac:dyDescent="0.25">
      <c r="E645" s="17" t="str">
        <f t="shared" si="10"/>
        <v/>
      </c>
    </row>
    <row r="646" spans="5:5" x14ac:dyDescent="0.25">
      <c r="E646" s="17" t="str">
        <f t="shared" si="10"/>
        <v/>
      </c>
    </row>
    <row r="647" spans="5:5" x14ac:dyDescent="0.25">
      <c r="E647" s="17" t="str">
        <f t="shared" si="10"/>
        <v/>
      </c>
    </row>
    <row r="648" spans="5:5" x14ac:dyDescent="0.25">
      <c r="E648" s="17" t="str">
        <f t="shared" si="10"/>
        <v/>
      </c>
    </row>
    <row r="649" spans="5:5" x14ac:dyDescent="0.25">
      <c r="E649" s="17" t="str">
        <f t="shared" si="10"/>
        <v/>
      </c>
    </row>
    <row r="650" spans="5:5" x14ac:dyDescent="0.25">
      <c r="E650" s="17" t="str">
        <f t="shared" si="10"/>
        <v/>
      </c>
    </row>
    <row r="651" spans="5:5" x14ac:dyDescent="0.25">
      <c r="E651" s="17" t="str">
        <f t="shared" si="10"/>
        <v/>
      </c>
    </row>
    <row r="652" spans="5:5" x14ac:dyDescent="0.25">
      <c r="E652" s="17" t="str">
        <f t="shared" si="10"/>
        <v/>
      </c>
    </row>
    <row r="653" spans="5:5" x14ac:dyDescent="0.25">
      <c r="E653" s="17" t="str">
        <f t="shared" si="10"/>
        <v/>
      </c>
    </row>
    <row r="654" spans="5:5" x14ac:dyDescent="0.25">
      <c r="E654" s="17" t="str">
        <f t="shared" si="10"/>
        <v/>
      </c>
    </row>
    <row r="655" spans="5:5" x14ac:dyDescent="0.25">
      <c r="E655" s="17" t="str">
        <f t="shared" si="10"/>
        <v/>
      </c>
    </row>
    <row r="656" spans="5:5" x14ac:dyDescent="0.25">
      <c r="E656" s="17" t="str">
        <f t="shared" si="10"/>
        <v/>
      </c>
    </row>
    <row r="657" spans="5:5" x14ac:dyDescent="0.25">
      <c r="E657" s="17" t="str">
        <f t="shared" si="10"/>
        <v/>
      </c>
    </row>
    <row r="658" spans="5:5" x14ac:dyDescent="0.25">
      <c r="E658" s="17" t="str">
        <f t="shared" si="10"/>
        <v/>
      </c>
    </row>
    <row r="659" spans="5:5" x14ac:dyDescent="0.25">
      <c r="E659" s="17" t="str">
        <f t="shared" si="10"/>
        <v/>
      </c>
    </row>
    <row r="660" spans="5:5" x14ac:dyDescent="0.25">
      <c r="E660" s="17" t="str">
        <f t="shared" si="10"/>
        <v/>
      </c>
    </row>
    <row r="661" spans="5:5" x14ac:dyDescent="0.25">
      <c r="E661" s="17" t="str">
        <f t="shared" si="10"/>
        <v/>
      </c>
    </row>
    <row r="662" spans="5:5" x14ac:dyDescent="0.25">
      <c r="E662" s="17" t="str">
        <f t="shared" si="10"/>
        <v/>
      </c>
    </row>
    <row r="663" spans="5:5" x14ac:dyDescent="0.25">
      <c r="E663" s="17" t="str">
        <f t="shared" si="10"/>
        <v/>
      </c>
    </row>
    <row r="664" spans="5:5" x14ac:dyDescent="0.25">
      <c r="E664" s="17" t="str">
        <f t="shared" si="10"/>
        <v/>
      </c>
    </row>
    <row r="665" spans="5:5" x14ac:dyDescent="0.25">
      <c r="E665" s="17" t="str">
        <f t="shared" si="10"/>
        <v/>
      </c>
    </row>
    <row r="666" spans="5:5" x14ac:dyDescent="0.25">
      <c r="E666" s="17" t="str">
        <f t="shared" si="10"/>
        <v/>
      </c>
    </row>
    <row r="667" spans="5:5" x14ac:dyDescent="0.25">
      <c r="E667" s="17" t="str">
        <f t="shared" si="10"/>
        <v/>
      </c>
    </row>
    <row r="668" spans="5:5" x14ac:dyDescent="0.25">
      <c r="E668" s="17" t="str">
        <f t="shared" si="10"/>
        <v/>
      </c>
    </row>
    <row r="669" spans="5:5" x14ac:dyDescent="0.25">
      <c r="E669" s="17" t="str">
        <f t="shared" si="10"/>
        <v/>
      </c>
    </row>
    <row r="670" spans="5:5" x14ac:dyDescent="0.25">
      <c r="E670" s="17" t="str">
        <f t="shared" si="10"/>
        <v/>
      </c>
    </row>
    <row r="671" spans="5:5" x14ac:dyDescent="0.25">
      <c r="E671" s="17" t="str">
        <f t="shared" si="10"/>
        <v/>
      </c>
    </row>
    <row r="672" spans="5:5" x14ac:dyDescent="0.25">
      <c r="E672" s="17" t="str">
        <f t="shared" si="10"/>
        <v/>
      </c>
    </row>
    <row r="673" spans="5:5" x14ac:dyDescent="0.25">
      <c r="E673" s="17" t="str">
        <f t="shared" si="10"/>
        <v/>
      </c>
    </row>
    <row r="674" spans="5:5" x14ac:dyDescent="0.25">
      <c r="E674" s="17" t="str">
        <f t="shared" si="10"/>
        <v/>
      </c>
    </row>
    <row r="675" spans="5:5" x14ac:dyDescent="0.25">
      <c r="E675" s="17" t="str">
        <f t="shared" si="10"/>
        <v/>
      </c>
    </row>
    <row r="676" spans="5:5" x14ac:dyDescent="0.25">
      <c r="E676" s="17" t="str">
        <f t="shared" si="10"/>
        <v/>
      </c>
    </row>
    <row r="677" spans="5:5" x14ac:dyDescent="0.25">
      <c r="E677" s="17" t="str">
        <f t="shared" si="10"/>
        <v/>
      </c>
    </row>
    <row r="678" spans="5:5" x14ac:dyDescent="0.25">
      <c r="E678" s="17" t="str">
        <f t="shared" si="10"/>
        <v/>
      </c>
    </row>
    <row r="679" spans="5:5" x14ac:dyDescent="0.25">
      <c r="E679" s="17" t="str">
        <f t="shared" si="10"/>
        <v/>
      </c>
    </row>
    <row r="680" spans="5:5" x14ac:dyDescent="0.25">
      <c r="E680" s="17" t="str">
        <f t="shared" si="10"/>
        <v/>
      </c>
    </row>
    <row r="681" spans="5:5" x14ac:dyDescent="0.25">
      <c r="E681" s="17" t="str">
        <f t="shared" si="10"/>
        <v/>
      </c>
    </row>
    <row r="682" spans="5:5" x14ac:dyDescent="0.25">
      <c r="E682" s="17" t="str">
        <f t="shared" si="10"/>
        <v/>
      </c>
    </row>
    <row r="683" spans="5:5" x14ac:dyDescent="0.25">
      <c r="E683" s="17" t="str">
        <f t="shared" si="10"/>
        <v/>
      </c>
    </row>
    <row r="684" spans="5:5" x14ac:dyDescent="0.25">
      <c r="E684" s="17" t="str">
        <f t="shared" si="10"/>
        <v/>
      </c>
    </row>
    <row r="685" spans="5:5" x14ac:dyDescent="0.25">
      <c r="E685" s="17" t="str">
        <f t="shared" si="10"/>
        <v/>
      </c>
    </row>
    <row r="686" spans="5:5" x14ac:dyDescent="0.25">
      <c r="E686" s="17" t="str">
        <f t="shared" si="10"/>
        <v/>
      </c>
    </row>
    <row r="687" spans="5:5" x14ac:dyDescent="0.25">
      <c r="E687" s="17" t="str">
        <f t="shared" si="10"/>
        <v/>
      </c>
    </row>
    <row r="688" spans="5:5" x14ac:dyDescent="0.25">
      <c r="E688" s="17" t="str">
        <f t="shared" si="10"/>
        <v/>
      </c>
    </row>
    <row r="689" spans="5:5" x14ac:dyDescent="0.25">
      <c r="E689" s="17" t="str">
        <f t="shared" si="10"/>
        <v/>
      </c>
    </row>
    <row r="690" spans="5:5" x14ac:dyDescent="0.25">
      <c r="E690" s="17" t="str">
        <f t="shared" si="10"/>
        <v/>
      </c>
    </row>
    <row r="691" spans="5:5" x14ac:dyDescent="0.25">
      <c r="E691" s="17" t="str">
        <f t="shared" ref="E691:E754" si="11">IF(G691="","",HYPERLINK(G691,"Link"))</f>
        <v/>
      </c>
    </row>
    <row r="692" spans="5:5" x14ac:dyDescent="0.25">
      <c r="E692" s="17" t="str">
        <f t="shared" si="11"/>
        <v/>
      </c>
    </row>
    <row r="693" spans="5:5" x14ac:dyDescent="0.25">
      <c r="E693" s="17" t="str">
        <f t="shared" si="11"/>
        <v/>
      </c>
    </row>
    <row r="694" spans="5:5" x14ac:dyDescent="0.25">
      <c r="E694" s="17" t="str">
        <f t="shared" si="11"/>
        <v/>
      </c>
    </row>
    <row r="695" spans="5:5" x14ac:dyDescent="0.25">
      <c r="E695" s="17" t="str">
        <f t="shared" si="11"/>
        <v/>
      </c>
    </row>
    <row r="696" spans="5:5" x14ac:dyDescent="0.25">
      <c r="E696" s="17" t="str">
        <f t="shared" si="11"/>
        <v/>
      </c>
    </row>
    <row r="697" spans="5:5" x14ac:dyDescent="0.25">
      <c r="E697" s="17" t="str">
        <f t="shared" si="11"/>
        <v/>
      </c>
    </row>
    <row r="698" spans="5:5" x14ac:dyDescent="0.25">
      <c r="E698" s="17" t="str">
        <f t="shared" si="11"/>
        <v/>
      </c>
    </row>
    <row r="699" spans="5:5" x14ac:dyDescent="0.25">
      <c r="E699" s="17" t="str">
        <f t="shared" si="11"/>
        <v/>
      </c>
    </row>
    <row r="700" spans="5:5" x14ac:dyDescent="0.25">
      <c r="E700" s="17" t="str">
        <f t="shared" si="11"/>
        <v/>
      </c>
    </row>
    <row r="701" spans="5:5" x14ac:dyDescent="0.25">
      <c r="E701" s="17" t="str">
        <f t="shared" si="11"/>
        <v/>
      </c>
    </row>
    <row r="702" spans="5:5" x14ac:dyDescent="0.25">
      <c r="E702" s="17" t="str">
        <f t="shared" si="11"/>
        <v/>
      </c>
    </row>
    <row r="703" spans="5:5" x14ac:dyDescent="0.25">
      <c r="E703" s="17" t="str">
        <f t="shared" si="11"/>
        <v/>
      </c>
    </row>
    <row r="704" spans="5:5" x14ac:dyDescent="0.25">
      <c r="E704" s="17" t="str">
        <f t="shared" si="11"/>
        <v/>
      </c>
    </row>
    <row r="705" spans="5:5" x14ac:dyDescent="0.25">
      <c r="E705" s="17" t="str">
        <f t="shared" si="11"/>
        <v/>
      </c>
    </row>
    <row r="706" spans="5:5" x14ac:dyDescent="0.25">
      <c r="E706" s="17" t="str">
        <f t="shared" si="11"/>
        <v/>
      </c>
    </row>
    <row r="707" spans="5:5" x14ac:dyDescent="0.25">
      <c r="E707" s="17" t="str">
        <f t="shared" si="11"/>
        <v/>
      </c>
    </row>
    <row r="708" spans="5:5" x14ac:dyDescent="0.25">
      <c r="E708" s="17" t="str">
        <f t="shared" si="11"/>
        <v/>
      </c>
    </row>
    <row r="709" spans="5:5" x14ac:dyDescent="0.25">
      <c r="E709" s="17" t="str">
        <f t="shared" si="11"/>
        <v/>
      </c>
    </row>
    <row r="710" spans="5:5" x14ac:dyDescent="0.25">
      <c r="E710" s="17" t="str">
        <f t="shared" si="11"/>
        <v/>
      </c>
    </row>
    <row r="711" spans="5:5" x14ac:dyDescent="0.25">
      <c r="E711" s="17" t="str">
        <f t="shared" si="11"/>
        <v/>
      </c>
    </row>
    <row r="712" spans="5:5" x14ac:dyDescent="0.25">
      <c r="E712" s="17" t="str">
        <f t="shared" si="11"/>
        <v/>
      </c>
    </row>
    <row r="713" spans="5:5" x14ac:dyDescent="0.25">
      <c r="E713" s="17" t="str">
        <f t="shared" si="11"/>
        <v/>
      </c>
    </row>
    <row r="714" spans="5:5" x14ac:dyDescent="0.25">
      <c r="E714" s="17" t="str">
        <f t="shared" si="11"/>
        <v/>
      </c>
    </row>
    <row r="715" spans="5:5" x14ac:dyDescent="0.25">
      <c r="E715" s="17" t="str">
        <f t="shared" si="11"/>
        <v/>
      </c>
    </row>
    <row r="716" spans="5:5" x14ac:dyDescent="0.25">
      <c r="E716" s="17" t="str">
        <f t="shared" si="11"/>
        <v/>
      </c>
    </row>
    <row r="717" spans="5:5" x14ac:dyDescent="0.25">
      <c r="E717" s="17" t="str">
        <f t="shared" si="11"/>
        <v/>
      </c>
    </row>
    <row r="718" spans="5:5" x14ac:dyDescent="0.25">
      <c r="E718" s="17" t="str">
        <f t="shared" si="11"/>
        <v/>
      </c>
    </row>
    <row r="719" spans="5:5" x14ac:dyDescent="0.25">
      <c r="E719" s="17" t="str">
        <f t="shared" si="11"/>
        <v/>
      </c>
    </row>
    <row r="720" spans="5:5" x14ac:dyDescent="0.25">
      <c r="E720" s="17" t="str">
        <f t="shared" si="11"/>
        <v/>
      </c>
    </row>
    <row r="721" spans="5:5" x14ac:dyDescent="0.25">
      <c r="E721" s="17" t="str">
        <f t="shared" si="11"/>
        <v/>
      </c>
    </row>
    <row r="722" spans="5:5" x14ac:dyDescent="0.25">
      <c r="E722" s="17" t="str">
        <f t="shared" si="11"/>
        <v/>
      </c>
    </row>
    <row r="723" spans="5:5" x14ac:dyDescent="0.25">
      <c r="E723" s="17" t="str">
        <f t="shared" si="11"/>
        <v/>
      </c>
    </row>
    <row r="724" spans="5:5" x14ac:dyDescent="0.25">
      <c r="E724" s="17" t="str">
        <f t="shared" si="11"/>
        <v/>
      </c>
    </row>
    <row r="725" spans="5:5" x14ac:dyDescent="0.25">
      <c r="E725" s="17" t="str">
        <f t="shared" si="11"/>
        <v/>
      </c>
    </row>
    <row r="726" spans="5:5" x14ac:dyDescent="0.25">
      <c r="E726" s="17" t="str">
        <f t="shared" si="11"/>
        <v/>
      </c>
    </row>
    <row r="727" spans="5:5" x14ac:dyDescent="0.25">
      <c r="E727" s="17" t="str">
        <f t="shared" si="11"/>
        <v/>
      </c>
    </row>
    <row r="728" spans="5:5" x14ac:dyDescent="0.25">
      <c r="E728" s="17" t="str">
        <f t="shared" si="11"/>
        <v/>
      </c>
    </row>
    <row r="729" spans="5:5" x14ac:dyDescent="0.25">
      <c r="E729" s="17" t="str">
        <f t="shared" si="11"/>
        <v/>
      </c>
    </row>
    <row r="730" spans="5:5" x14ac:dyDescent="0.25">
      <c r="E730" s="17" t="str">
        <f t="shared" si="11"/>
        <v/>
      </c>
    </row>
    <row r="731" spans="5:5" x14ac:dyDescent="0.25">
      <c r="E731" s="17" t="str">
        <f t="shared" si="11"/>
        <v/>
      </c>
    </row>
    <row r="732" spans="5:5" x14ac:dyDescent="0.25">
      <c r="E732" s="17" t="str">
        <f t="shared" si="11"/>
        <v/>
      </c>
    </row>
    <row r="733" spans="5:5" x14ac:dyDescent="0.25">
      <c r="E733" s="17" t="str">
        <f t="shared" si="11"/>
        <v/>
      </c>
    </row>
    <row r="734" spans="5:5" x14ac:dyDescent="0.25">
      <c r="E734" s="17" t="str">
        <f t="shared" si="11"/>
        <v/>
      </c>
    </row>
    <row r="735" spans="5:5" x14ac:dyDescent="0.25">
      <c r="E735" s="17" t="str">
        <f t="shared" si="11"/>
        <v/>
      </c>
    </row>
    <row r="736" spans="5:5" x14ac:dyDescent="0.25">
      <c r="E736" s="17" t="str">
        <f t="shared" si="11"/>
        <v/>
      </c>
    </row>
    <row r="737" spans="5:5" x14ac:dyDescent="0.25">
      <c r="E737" s="17" t="str">
        <f t="shared" si="11"/>
        <v/>
      </c>
    </row>
    <row r="738" spans="5:5" x14ac:dyDescent="0.25">
      <c r="E738" s="17" t="str">
        <f t="shared" si="11"/>
        <v/>
      </c>
    </row>
    <row r="739" spans="5:5" x14ac:dyDescent="0.25">
      <c r="E739" s="17" t="str">
        <f t="shared" si="11"/>
        <v/>
      </c>
    </row>
    <row r="740" spans="5:5" x14ac:dyDescent="0.25">
      <c r="E740" s="17" t="str">
        <f t="shared" si="11"/>
        <v/>
      </c>
    </row>
    <row r="741" spans="5:5" x14ac:dyDescent="0.25">
      <c r="E741" s="17" t="str">
        <f t="shared" si="11"/>
        <v/>
      </c>
    </row>
    <row r="742" spans="5:5" x14ac:dyDescent="0.25">
      <c r="E742" s="17" t="str">
        <f t="shared" si="11"/>
        <v/>
      </c>
    </row>
    <row r="743" spans="5:5" x14ac:dyDescent="0.25">
      <c r="E743" s="17" t="str">
        <f t="shared" si="11"/>
        <v/>
      </c>
    </row>
    <row r="744" spans="5:5" x14ac:dyDescent="0.25">
      <c r="E744" s="17" t="str">
        <f t="shared" si="11"/>
        <v/>
      </c>
    </row>
    <row r="745" spans="5:5" x14ac:dyDescent="0.25">
      <c r="E745" s="17" t="str">
        <f t="shared" si="11"/>
        <v/>
      </c>
    </row>
    <row r="746" spans="5:5" x14ac:dyDescent="0.25">
      <c r="E746" s="17" t="str">
        <f t="shared" si="11"/>
        <v/>
      </c>
    </row>
    <row r="747" spans="5:5" x14ac:dyDescent="0.25">
      <c r="E747" s="17" t="str">
        <f t="shared" si="11"/>
        <v/>
      </c>
    </row>
    <row r="748" spans="5:5" x14ac:dyDescent="0.25">
      <c r="E748" s="17" t="str">
        <f t="shared" si="11"/>
        <v/>
      </c>
    </row>
    <row r="749" spans="5:5" x14ac:dyDescent="0.25">
      <c r="E749" s="17" t="str">
        <f t="shared" si="11"/>
        <v/>
      </c>
    </row>
    <row r="750" spans="5:5" x14ac:dyDescent="0.25">
      <c r="E750" s="17" t="str">
        <f t="shared" si="11"/>
        <v/>
      </c>
    </row>
    <row r="751" spans="5:5" x14ac:dyDescent="0.25">
      <c r="E751" s="17" t="str">
        <f t="shared" si="11"/>
        <v/>
      </c>
    </row>
    <row r="752" spans="5:5" x14ac:dyDescent="0.25">
      <c r="E752" s="17" t="str">
        <f t="shared" si="11"/>
        <v/>
      </c>
    </row>
    <row r="753" spans="5:5" x14ac:dyDescent="0.25">
      <c r="E753" s="17" t="str">
        <f t="shared" si="11"/>
        <v/>
      </c>
    </row>
    <row r="754" spans="5:5" x14ac:dyDescent="0.25">
      <c r="E754" s="17" t="str">
        <f t="shared" si="11"/>
        <v/>
      </c>
    </row>
    <row r="755" spans="5:5" x14ac:dyDescent="0.25">
      <c r="E755" s="17" t="str">
        <f t="shared" ref="E755:E818" si="12">IF(G755="","",HYPERLINK(G755,"Link"))</f>
        <v/>
      </c>
    </row>
    <row r="756" spans="5:5" x14ac:dyDescent="0.25">
      <c r="E756" s="17" t="str">
        <f t="shared" si="12"/>
        <v/>
      </c>
    </row>
    <row r="757" spans="5:5" x14ac:dyDescent="0.25">
      <c r="E757" s="17" t="str">
        <f t="shared" si="12"/>
        <v/>
      </c>
    </row>
    <row r="758" spans="5:5" x14ac:dyDescent="0.25">
      <c r="E758" s="17" t="str">
        <f t="shared" si="12"/>
        <v/>
      </c>
    </row>
    <row r="759" spans="5:5" x14ac:dyDescent="0.25">
      <c r="E759" s="17" t="str">
        <f t="shared" si="12"/>
        <v/>
      </c>
    </row>
    <row r="760" spans="5:5" x14ac:dyDescent="0.25">
      <c r="E760" s="17" t="str">
        <f t="shared" si="12"/>
        <v/>
      </c>
    </row>
    <row r="761" spans="5:5" x14ac:dyDescent="0.25">
      <c r="E761" s="17" t="str">
        <f t="shared" si="12"/>
        <v/>
      </c>
    </row>
    <row r="762" spans="5:5" x14ac:dyDescent="0.25">
      <c r="E762" s="17" t="str">
        <f t="shared" si="12"/>
        <v/>
      </c>
    </row>
    <row r="763" spans="5:5" x14ac:dyDescent="0.25">
      <c r="E763" s="17" t="str">
        <f t="shared" si="12"/>
        <v/>
      </c>
    </row>
    <row r="764" spans="5:5" x14ac:dyDescent="0.25">
      <c r="E764" s="17" t="str">
        <f t="shared" si="12"/>
        <v/>
      </c>
    </row>
    <row r="765" spans="5:5" x14ac:dyDescent="0.25">
      <c r="E765" s="17" t="str">
        <f t="shared" si="12"/>
        <v/>
      </c>
    </row>
    <row r="766" spans="5:5" x14ac:dyDescent="0.25">
      <c r="E766" s="17" t="str">
        <f t="shared" si="12"/>
        <v/>
      </c>
    </row>
    <row r="767" spans="5:5" x14ac:dyDescent="0.25">
      <c r="E767" s="17" t="str">
        <f t="shared" si="12"/>
        <v/>
      </c>
    </row>
    <row r="768" spans="5:5" x14ac:dyDescent="0.25">
      <c r="E768" s="17" t="str">
        <f t="shared" si="12"/>
        <v/>
      </c>
    </row>
    <row r="769" spans="5:5" x14ac:dyDescent="0.25">
      <c r="E769" s="17" t="str">
        <f t="shared" si="12"/>
        <v/>
      </c>
    </row>
    <row r="770" spans="5:5" x14ac:dyDescent="0.25">
      <c r="E770" s="17" t="str">
        <f t="shared" si="12"/>
        <v/>
      </c>
    </row>
    <row r="771" spans="5:5" x14ac:dyDescent="0.25">
      <c r="E771" s="17" t="str">
        <f t="shared" si="12"/>
        <v/>
      </c>
    </row>
    <row r="772" spans="5:5" x14ac:dyDescent="0.25">
      <c r="E772" s="17" t="str">
        <f t="shared" si="12"/>
        <v/>
      </c>
    </row>
    <row r="773" spans="5:5" x14ac:dyDescent="0.25">
      <c r="E773" s="17" t="str">
        <f t="shared" si="12"/>
        <v/>
      </c>
    </row>
    <row r="774" spans="5:5" x14ac:dyDescent="0.25">
      <c r="E774" s="17" t="str">
        <f t="shared" si="12"/>
        <v/>
      </c>
    </row>
    <row r="775" spans="5:5" x14ac:dyDescent="0.25">
      <c r="E775" s="17" t="str">
        <f t="shared" si="12"/>
        <v/>
      </c>
    </row>
    <row r="776" spans="5:5" x14ac:dyDescent="0.25">
      <c r="E776" s="17" t="str">
        <f t="shared" si="12"/>
        <v/>
      </c>
    </row>
    <row r="777" spans="5:5" x14ac:dyDescent="0.25">
      <c r="E777" s="17" t="str">
        <f t="shared" si="12"/>
        <v/>
      </c>
    </row>
    <row r="778" spans="5:5" x14ac:dyDescent="0.25">
      <c r="E778" s="17" t="str">
        <f t="shared" si="12"/>
        <v/>
      </c>
    </row>
    <row r="779" spans="5:5" x14ac:dyDescent="0.25">
      <c r="E779" s="17" t="str">
        <f t="shared" si="12"/>
        <v/>
      </c>
    </row>
    <row r="780" spans="5:5" x14ac:dyDescent="0.25">
      <c r="E780" s="17" t="str">
        <f t="shared" si="12"/>
        <v/>
      </c>
    </row>
    <row r="781" spans="5:5" x14ac:dyDescent="0.25">
      <c r="E781" s="17" t="str">
        <f t="shared" si="12"/>
        <v/>
      </c>
    </row>
    <row r="782" spans="5:5" x14ac:dyDescent="0.25">
      <c r="E782" s="17" t="str">
        <f t="shared" si="12"/>
        <v/>
      </c>
    </row>
    <row r="783" spans="5:5" x14ac:dyDescent="0.25">
      <c r="E783" s="17" t="str">
        <f t="shared" si="12"/>
        <v/>
      </c>
    </row>
    <row r="784" spans="5:5" x14ac:dyDescent="0.25">
      <c r="E784" s="17" t="str">
        <f t="shared" si="12"/>
        <v/>
      </c>
    </row>
    <row r="785" spans="5:5" x14ac:dyDescent="0.25">
      <c r="E785" s="17" t="str">
        <f t="shared" si="12"/>
        <v/>
      </c>
    </row>
    <row r="786" spans="5:5" x14ac:dyDescent="0.25">
      <c r="E786" s="17" t="str">
        <f t="shared" si="12"/>
        <v/>
      </c>
    </row>
    <row r="787" spans="5:5" x14ac:dyDescent="0.25">
      <c r="E787" s="17" t="str">
        <f t="shared" si="12"/>
        <v/>
      </c>
    </row>
    <row r="788" spans="5:5" x14ac:dyDescent="0.25">
      <c r="E788" s="17" t="str">
        <f t="shared" si="12"/>
        <v/>
      </c>
    </row>
    <row r="789" spans="5:5" x14ac:dyDescent="0.25">
      <c r="E789" s="17" t="str">
        <f t="shared" si="12"/>
        <v/>
      </c>
    </row>
    <row r="790" spans="5:5" x14ac:dyDescent="0.25">
      <c r="E790" s="17" t="str">
        <f t="shared" si="12"/>
        <v/>
      </c>
    </row>
    <row r="791" spans="5:5" x14ac:dyDescent="0.25">
      <c r="E791" s="17" t="str">
        <f t="shared" si="12"/>
        <v/>
      </c>
    </row>
    <row r="792" spans="5:5" x14ac:dyDescent="0.25">
      <c r="E792" s="17" t="str">
        <f t="shared" si="12"/>
        <v/>
      </c>
    </row>
    <row r="793" spans="5:5" x14ac:dyDescent="0.25">
      <c r="E793" s="17" t="str">
        <f t="shared" si="12"/>
        <v/>
      </c>
    </row>
    <row r="794" spans="5:5" x14ac:dyDescent="0.25">
      <c r="E794" s="17" t="str">
        <f t="shared" si="12"/>
        <v/>
      </c>
    </row>
    <row r="795" spans="5:5" x14ac:dyDescent="0.25">
      <c r="E795" s="17" t="str">
        <f t="shared" si="12"/>
        <v/>
      </c>
    </row>
    <row r="796" spans="5:5" x14ac:dyDescent="0.25">
      <c r="E796" s="17" t="str">
        <f t="shared" si="12"/>
        <v/>
      </c>
    </row>
    <row r="797" spans="5:5" x14ac:dyDescent="0.25">
      <c r="E797" s="17" t="str">
        <f t="shared" si="12"/>
        <v/>
      </c>
    </row>
    <row r="798" spans="5:5" x14ac:dyDescent="0.25">
      <c r="E798" s="17" t="str">
        <f t="shared" si="12"/>
        <v/>
      </c>
    </row>
    <row r="799" spans="5:5" x14ac:dyDescent="0.25">
      <c r="E799" s="17" t="str">
        <f t="shared" si="12"/>
        <v/>
      </c>
    </row>
    <row r="800" spans="5:5" x14ac:dyDescent="0.25">
      <c r="E800" s="17" t="str">
        <f t="shared" si="12"/>
        <v/>
      </c>
    </row>
    <row r="801" spans="5:5" x14ac:dyDescent="0.25">
      <c r="E801" s="17" t="str">
        <f t="shared" si="12"/>
        <v/>
      </c>
    </row>
    <row r="802" spans="5:5" x14ac:dyDescent="0.25">
      <c r="E802" s="17" t="str">
        <f t="shared" si="12"/>
        <v/>
      </c>
    </row>
    <row r="803" spans="5:5" x14ac:dyDescent="0.25">
      <c r="E803" s="17" t="str">
        <f t="shared" si="12"/>
        <v/>
      </c>
    </row>
    <row r="804" spans="5:5" x14ac:dyDescent="0.25">
      <c r="E804" s="17" t="str">
        <f t="shared" si="12"/>
        <v/>
      </c>
    </row>
    <row r="805" spans="5:5" x14ac:dyDescent="0.25">
      <c r="E805" s="17" t="str">
        <f t="shared" si="12"/>
        <v/>
      </c>
    </row>
    <row r="806" spans="5:5" x14ac:dyDescent="0.25">
      <c r="E806" s="17" t="str">
        <f t="shared" si="12"/>
        <v/>
      </c>
    </row>
    <row r="807" spans="5:5" x14ac:dyDescent="0.25">
      <c r="E807" s="17" t="str">
        <f t="shared" si="12"/>
        <v/>
      </c>
    </row>
    <row r="808" spans="5:5" x14ac:dyDescent="0.25">
      <c r="E808" s="17" t="str">
        <f t="shared" si="12"/>
        <v/>
      </c>
    </row>
    <row r="809" spans="5:5" x14ac:dyDescent="0.25">
      <c r="E809" s="17" t="str">
        <f t="shared" si="12"/>
        <v/>
      </c>
    </row>
    <row r="810" spans="5:5" x14ac:dyDescent="0.25">
      <c r="E810" s="17" t="str">
        <f t="shared" si="12"/>
        <v/>
      </c>
    </row>
    <row r="811" spans="5:5" x14ac:dyDescent="0.25">
      <c r="E811" s="17" t="str">
        <f t="shared" si="12"/>
        <v/>
      </c>
    </row>
    <row r="812" spans="5:5" x14ac:dyDescent="0.25">
      <c r="E812" s="17" t="str">
        <f t="shared" si="12"/>
        <v/>
      </c>
    </row>
    <row r="813" spans="5:5" x14ac:dyDescent="0.25">
      <c r="E813" s="17" t="str">
        <f t="shared" si="12"/>
        <v/>
      </c>
    </row>
    <row r="814" spans="5:5" x14ac:dyDescent="0.25">
      <c r="E814" s="17" t="str">
        <f t="shared" si="12"/>
        <v/>
      </c>
    </row>
    <row r="815" spans="5:5" x14ac:dyDescent="0.25">
      <c r="E815" s="17" t="str">
        <f t="shared" si="12"/>
        <v/>
      </c>
    </row>
    <row r="816" spans="5:5" x14ac:dyDescent="0.25">
      <c r="E816" s="17" t="str">
        <f t="shared" si="12"/>
        <v/>
      </c>
    </row>
    <row r="817" spans="5:5" x14ac:dyDescent="0.25">
      <c r="E817" s="17" t="str">
        <f t="shared" si="12"/>
        <v/>
      </c>
    </row>
    <row r="818" spans="5:5" x14ac:dyDescent="0.25">
      <c r="E818" s="17" t="str">
        <f t="shared" si="12"/>
        <v/>
      </c>
    </row>
    <row r="819" spans="5:5" x14ac:dyDescent="0.25">
      <c r="E819" s="17" t="str">
        <f t="shared" ref="E819:E882" si="13">IF(G819="","",HYPERLINK(G819,"Link"))</f>
        <v/>
      </c>
    </row>
    <row r="820" spans="5:5" x14ac:dyDescent="0.25">
      <c r="E820" s="17" t="str">
        <f t="shared" si="13"/>
        <v/>
      </c>
    </row>
    <row r="821" spans="5:5" x14ac:dyDescent="0.25">
      <c r="E821" s="17" t="str">
        <f t="shared" si="13"/>
        <v/>
      </c>
    </row>
    <row r="822" spans="5:5" x14ac:dyDescent="0.25">
      <c r="E822" s="17" t="str">
        <f t="shared" si="13"/>
        <v/>
      </c>
    </row>
    <row r="823" spans="5:5" x14ac:dyDescent="0.25">
      <c r="E823" s="17" t="str">
        <f t="shared" si="13"/>
        <v/>
      </c>
    </row>
    <row r="824" spans="5:5" x14ac:dyDescent="0.25">
      <c r="E824" s="17" t="str">
        <f t="shared" si="13"/>
        <v/>
      </c>
    </row>
    <row r="825" spans="5:5" x14ac:dyDescent="0.25">
      <c r="E825" s="17" t="str">
        <f t="shared" si="13"/>
        <v/>
      </c>
    </row>
    <row r="826" spans="5:5" x14ac:dyDescent="0.25">
      <c r="E826" s="17" t="str">
        <f t="shared" si="13"/>
        <v/>
      </c>
    </row>
    <row r="827" spans="5:5" x14ac:dyDescent="0.25">
      <c r="E827" s="17" t="str">
        <f t="shared" si="13"/>
        <v/>
      </c>
    </row>
    <row r="828" spans="5:5" x14ac:dyDescent="0.25">
      <c r="E828" s="17" t="str">
        <f t="shared" si="13"/>
        <v/>
      </c>
    </row>
    <row r="829" spans="5:5" x14ac:dyDescent="0.25">
      <c r="E829" s="17" t="str">
        <f t="shared" si="13"/>
        <v/>
      </c>
    </row>
    <row r="830" spans="5:5" x14ac:dyDescent="0.25">
      <c r="E830" s="17" t="str">
        <f t="shared" si="13"/>
        <v/>
      </c>
    </row>
    <row r="831" spans="5:5" x14ac:dyDescent="0.25">
      <c r="E831" s="17" t="str">
        <f t="shared" si="13"/>
        <v/>
      </c>
    </row>
    <row r="832" spans="5:5" x14ac:dyDescent="0.25">
      <c r="E832" s="17" t="str">
        <f t="shared" si="13"/>
        <v/>
      </c>
    </row>
    <row r="833" spans="5:5" x14ac:dyDescent="0.25">
      <c r="E833" s="17" t="str">
        <f t="shared" si="13"/>
        <v/>
      </c>
    </row>
    <row r="834" spans="5:5" x14ac:dyDescent="0.25">
      <c r="E834" s="17" t="str">
        <f t="shared" si="13"/>
        <v/>
      </c>
    </row>
    <row r="835" spans="5:5" x14ac:dyDescent="0.25">
      <c r="E835" s="17" t="str">
        <f t="shared" si="13"/>
        <v/>
      </c>
    </row>
    <row r="836" spans="5:5" x14ac:dyDescent="0.25">
      <c r="E836" s="17" t="str">
        <f t="shared" si="13"/>
        <v/>
      </c>
    </row>
    <row r="837" spans="5:5" x14ac:dyDescent="0.25">
      <c r="E837" s="17" t="str">
        <f t="shared" si="13"/>
        <v/>
      </c>
    </row>
    <row r="838" spans="5:5" x14ac:dyDescent="0.25">
      <c r="E838" s="17" t="str">
        <f t="shared" si="13"/>
        <v/>
      </c>
    </row>
    <row r="839" spans="5:5" x14ac:dyDescent="0.25">
      <c r="E839" s="17" t="str">
        <f t="shared" si="13"/>
        <v/>
      </c>
    </row>
    <row r="840" spans="5:5" x14ac:dyDescent="0.25">
      <c r="E840" s="17" t="str">
        <f t="shared" si="13"/>
        <v/>
      </c>
    </row>
    <row r="841" spans="5:5" x14ac:dyDescent="0.25">
      <c r="E841" s="17" t="str">
        <f t="shared" si="13"/>
        <v/>
      </c>
    </row>
    <row r="842" spans="5:5" x14ac:dyDescent="0.25">
      <c r="E842" s="17" t="str">
        <f t="shared" si="13"/>
        <v/>
      </c>
    </row>
    <row r="843" spans="5:5" x14ac:dyDescent="0.25">
      <c r="E843" s="17" t="str">
        <f t="shared" si="13"/>
        <v/>
      </c>
    </row>
    <row r="844" spans="5:5" x14ac:dyDescent="0.25">
      <c r="E844" s="17" t="str">
        <f t="shared" si="13"/>
        <v/>
      </c>
    </row>
    <row r="845" spans="5:5" x14ac:dyDescent="0.25">
      <c r="E845" s="17" t="str">
        <f t="shared" si="13"/>
        <v/>
      </c>
    </row>
    <row r="846" spans="5:5" x14ac:dyDescent="0.25">
      <c r="E846" s="17" t="str">
        <f t="shared" si="13"/>
        <v/>
      </c>
    </row>
    <row r="847" spans="5:5" x14ac:dyDescent="0.25">
      <c r="E847" s="17" t="str">
        <f t="shared" si="13"/>
        <v/>
      </c>
    </row>
    <row r="848" spans="5:5" x14ac:dyDescent="0.25">
      <c r="E848" s="17" t="str">
        <f t="shared" si="13"/>
        <v/>
      </c>
    </row>
    <row r="849" spans="5:5" x14ac:dyDescent="0.25">
      <c r="E849" s="17" t="str">
        <f t="shared" si="13"/>
        <v/>
      </c>
    </row>
    <row r="850" spans="5:5" x14ac:dyDescent="0.25">
      <c r="E850" s="17" t="str">
        <f t="shared" si="13"/>
        <v/>
      </c>
    </row>
    <row r="851" spans="5:5" x14ac:dyDescent="0.25">
      <c r="E851" s="17" t="str">
        <f t="shared" si="13"/>
        <v/>
      </c>
    </row>
    <row r="852" spans="5:5" x14ac:dyDescent="0.25">
      <c r="E852" s="17" t="str">
        <f t="shared" si="13"/>
        <v/>
      </c>
    </row>
    <row r="853" spans="5:5" x14ac:dyDescent="0.25">
      <c r="E853" s="17" t="str">
        <f t="shared" si="13"/>
        <v/>
      </c>
    </row>
    <row r="854" spans="5:5" x14ac:dyDescent="0.25">
      <c r="E854" s="17" t="str">
        <f t="shared" si="13"/>
        <v/>
      </c>
    </row>
    <row r="855" spans="5:5" x14ac:dyDescent="0.25">
      <c r="E855" s="17" t="str">
        <f t="shared" si="13"/>
        <v/>
      </c>
    </row>
    <row r="856" spans="5:5" x14ac:dyDescent="0.25">
      <c r="E856" s="17" t="str">
        <f t="shared" si="13"/>
        <v/>
      </c>
    </row>
    <row r="857" spans="5:5" x14ac:dyDescent="0.25">
      <c r="E857" s="17" t="str">
        <f t="shared" si="13"/>
        <v/>
      </c>
    </row>
    <row r="858" spans="5:5" x14ac:dyDescent="0.25">
      <c r="E858" s="17" t="str">
        <f t="shared" si="13"/>
        <v/>
      </c>
    </row>
    <row r="859" spans="5:5" x14ac:dyDescent="0.25">
      <c r="E859" s="17" t="str">
        <f t="shared" si="13"/>
        <v/>
      </c>
    </row>
    <row r="860" spans="5:5" x14ac:dyDescent="0.25">
      <c r="E860" s="17" t="str">
        <f t="shared" si="13"/>
        <v/>
      </c>
    </row>
    <row r="861" spans="5:5" x14ac:dyDescent="0.25">
      <c r="E861" s="17" t="str">
        <f t="shared" si="13"/>
        <v/>
      </c>
    </row>
    <row r="862" spans="5:5" x14ac:dyDescent="0.25">
      <c r="E862" s="17" t="str">
        <f t="shared" si="13"/>
        <v/>
      </c>
    </row>
    <row r="863" spans="5:5" x14ac:dyDescent="0.25">
      <c r="E863" s="17" t="str">
        <f t="shared" si="13"/>
        <v/>
      </c>
    </row>
    <row r="864" spans="5:5" x14ac:dyDescent="0.25">
      <c r="E864" s="17" t="str">
        <f t="shared" si="13"/>
        <v/>
      </c>
    </row>
    <row r="865" spans="5:5" x14ac:dyDescent="0.25">
      <c r="E865" s="17" t="str">
        <f t="shared" si="13"/>
        <v/>
      </c>
    </row>
    <row r="866" spans="5:5" x14ac:dyDescent="0.25">
      <c r="E866" s="17" t="str">
        <f t="shared" si="13"/>
        <v/>
      </c>
    </row>
    <row r="867" spans="5:5" x14ac:dyDescent="0.25">
      <c r="E867" s="17" t="str">
        <f t="shared" si="13"/>
        <v/>
      </c>
    </row>
    <row r="868" spans="5:5" x14ac:dyDescent="0.25">
      <c r="E868" s="17" t="str">
        <f t="shared" si="13"/>
        <v/>
      </c>
    </row>
    <row r="869" spans="5:5" x14ac:dyDescent="0.25">
      <c r="E869" s="17" t="str">
        <f t="shared" si="13"/>
        <v/>
      </c>
    </row>
    <row r="870" spans="5:5" x14ac:dyDescent="0.25">
      <c r="E870" s="17" t="str">
        <f t="shared" si="13"/>
        <v/>
      </c>
    </row>
    <row r="871" spans="5:5" x14ac:dyDescent="0.25">
      <c r="E871" s="17" t="str">
        <f t="shared" si="13"/>
        <v/>
      </c>
    </row>
    <row r="872" spans="5:5" x14ac:dyDescent="0.25">
      <c r="E872" s="17" t="str">
        <f t="shared" si="13"/>
        <v/>
      </c>
    </row>
    <row r="873" spans="5:5" x14ac:dyDescent="0.25">
      <c r="E873" s="17" t="str">
        <f t="shared" si="13"/>
        <v/>
      </c>
    </row>
    <row r="874" spans="5:5" x14ac:dyDescent="0.25">
      <c r="E874" s="17" t="str">
        <f t="shared" si="13"/>
        <v/>
      </c>
    </row>
    <row r="875" spans="5:5" x14ac:dyDescent="0.25">
      <c r="E875" s="17" t="str">
        <f t="shared" si="13"/>
        <v/>
      </c>
    </row>
    <row r="876" spans="5:5" x14ac:dyDescent="0.25">
      <c r="E876" s="17" t="str">
        <f t="shared" si="13"/>
        <v/>
      </c>
    </row>
    <row r="877" spans="5:5" x14ac:dyDescent="0.25">
      <c r="E877" s="17" t="str">
        <f t="shared" si="13"/>
        <v/>
      </c>
    </row>
    <row r="878" spans="5:5" x14ac:dyDescent="0.25">
      <c r="E878" s="17" t="str">
        <f t="shared" si="13"/>
        <v/>
      </c>
    </row>
    <row r="879" spans="5:5" x14ac:dyDescent="0.25">
      <c r="E879" s="17" t="str">
        <f t="shared" si="13"/>
        <v/>
      </c>
    </row>
    <row r="880" spans="5:5" x14ac:dyDescent="0.25">
      <c r="E880" s="17" t="str">
        <f t="shared" si="13"/>
        <v/>
      </c>
    </row>
    <row r="881" spans="5:5" x14ac:dyDescent="0.25">
      <c r="E881" s="17" t="str">
        <f t="shared" si="13"/>
        <v/>
      </c>
    </row>
    <row r="882" spans="5:5" x14ac:dyDescent="0.25">
      <c r="E882" s="17" t="str">
        <f t="shared" si="13"/>
        <v/>
      </c>
    </row>
    <row r="883" spans="5:5" x14ac:dyDescent="0.25">
      <c r="E883" s="17" t="str">
        <f t="shared" ref="E883:E946" si="14">IF(G883="","",HYPERLINK(G883,"Link"))</f>
        <v/>
      </c>
    </row>
    <row r="884" spans="5:5" x14ac:dyDescent="0.25">
      <c r="E884" s="17" t="str">
        <f t="shared" si="14"/>
        <v/>
      </c>
    </row>
    <row r="885" spans="5:5" x14ac:dyDescent="0.25">
      <c r="E885" s="17" t="str">
        <f t="shared" si="14"/>
        <v/>
      </c>
    </row>
    <row r="886" spans="5:5" x14ac:dyDescent="0.25">
      <c r="E886" s="17" t="str">
        <f t="shared" si="14"/>
        <v/>
      </c>
    </row>
    <row r="887" spans="5:5" x14ac:dyDescent="0.25">
      <c r="E887" s="17" t="str">
        <f t="shared" si="14"/>
        <v/>
      </c>
    </row>
    <row r="888" spans="5:5" x14ac:dyDescent="0.25">
      <c r="E888" s="17" t="str">
        <f t="shared" si="14"/>
        <v/>
      </c>
    </row>
    <row r="889" spans="5:5" x14ac:dyDescent="0.25">
      <c r="E889" s="17" t="str">
        <f t="shared" si="14"/>
        <v/>
      </c>
    </row>
    <row r="890" spans="5:5" x14ac:dyDescent="0.25">
      <c r="E890" s="17" t="str">
        <f t="shared" si="14"/>
        <v/>
      </c>
    </row>
    <row r="891" spans="5:5" x14ac:dyDescent="0.25">
      <c r="E891" s="17" t="str">
        <f t="shared" si="14"/>
        <v/>
      </c>
    </row>
    <row r="892" spans="5:5" x14ac:dyDescent="0.25">
      <c r="E892" s="17" t="str">
        <f t="shared" si="14"/>
        <v/>
      </c>
    </row>
    <row r="893" spans="5:5" x14ac:dyDescent="0.25">
      <c r="E893" s="17" t="str">
        <f t="shared" si="14"/>
        <v/>
      </c>
    </row>
    <row r="894" spans="5:5" x14ac:dyDescent="0.25">
      <c r="E894" s="17" t="str">
        <f t="shared" si="14"/>
        <v/>
      </c>
    </row>
    <row r="895" spans="5:5" x14ac:dyDescent="0.25">
      <c r="E895" s="17" t="str">
        <f t="shared" si="14"/>
        <v/>
      </c>
    </row>
    <row r="896" spans="5:5" x14ac:dyDescent="0.25">
      <c r="E896" s="17" t="str">
        <f t="shared" si="14"/>
        <v/>
      </c>
    </row>
    <row r="897" spans="5:5" x14ac:dyDescent="0.25">
      <c r="E897" s="17" t="str">
        <f t="shared" si="14"/>
        <v/>
      </c>
    </row>
    <row r="898" spans="5:5" x14ac:dyDescent="0.25">
      <c r="E898" s="17" t="str">
        <f t="shared" si="14"/>
        <v/>
      </c>
    </row>
    <row r="899" spans="5:5" x14ac:dyDescent="0.25">
      <c r="E899" s="17" t="str">
        <f t="shared" si="14"/>
        <v/>
      </c>
    </row>
    <row r="900" spans="5:5" x14ac:dyDescent="0.25">
      <c r="E900" s="17" t="str">
        <f t="shared" si="14"/>
        <v/>
      </c>
    </row>
    <row r="901" spans="5:5" x14ac:dyDescent="0.25">
      <c r="E901" s="17" t="str">
        <f t="shared" si="14"/>
        <v/>
      </c>
    </row>
    <row r="902" spans="5:5" x14ac:dyDescent="0.25">
      <c r="E902" s="17" t="str">
        <f t="shared" si="14"/>
        <v/>
      </c>
    </row>
    <row r="903" spans="5:5" x14ac:dyDescent="0.25">
      <c r="E903" s="17" t="str">
        <f t="shared" si="14"/>
        <v/>
      </c>
    </row>
    <row r="904" spans="5:5" x14ac:dyDescent="0.25">
      <c r="E904" s="17" t="str">
        <f t="shared" si="14"/>
        <v/>
      </c>
    </row>
    <row r="905" spans="5:5" x14ac:dyDescent="0.25">
      <c r="E905" s="17" t="str">
        <f t="shared" si="14"/>
        <v/>
      </c>
    </row>
    <row r="906" spans="5:5" x14ac:dyDescent="0.25">
      <c r="E906" s="17" t="str">
        <f t="shared" si="14"/>
        <v/>
      </c>
    </row>
    <row r="907" spans="5:5" x14ac:dyDescent="0.25">
      <c r="E907" s="17" t="str">
        <f t="shared" si="14"/>
        <v/>
      </c>
    </row>
    <row r="908" spans="5:5" x14ac:dyDescent="0.25">
      <c r="E908" s="17" t="str">
        <f t="shared" si="14"/>
        <v/>
      </c>
    </row>
    <row r="909" spans="5:5" x14ac:dyDescent="0.25">
      <c r="E909" s="17" t="str">
        <f t="shared" si="14"/>
        <v/>
      </c>
    </row>
    <row r="910" spans="5:5" x14ac:dyDescent="0.25">
      <c r="E910" s="17" t="str">
        <f t="shared" si="14"/>
        <v/>
      </c>
    </row>
    <row r="911" spans="5:5" x14ac:dyDescent="0.25">
      <c r="E911" s="17" t="str">
        <f t="shared" si="14"/>
        <v/>
      </c>
    </row>
    <row r="912" spans="5:5" x14ac:dyDescent="0.25">
      <c r="E912" s="17" t="str">
        <f t="shared" si="14"/>
        <v/>
      </c>
    </row>
    <row r="913" spans="5:5" x14ac:dyDescent="0.25">
      <c r="E913" s="17" t="str">
        <f t="shared" si="14"/>
        <v/>
      </c>
    </row>
    <row r="914" spans="5:5" x14ac:dyDescent="0.25">
      <c r="E914" s="17" t="str">
        <f t="shared" si="14"/>
        <v/>
      </c>
    </row>
    <row r="915" spans="5:5" x14ac:dyDescent="0.25">
      <c r="E915" s="17" t="str">
        <f t="shared" si="14"/>
        <v/>
      </c>
    </row>
    <row r="916" spans="5:5" x14ac:dyDescent="0.25">
      <c r="E916" s="17" t="str">
        <f t="shared" si="14"/>
        <v/>
      </c>
    </row>
    <row r="917" spans="5:5" x14ac:dyDescent="0.25">
      <c r="E917" s="17" t="str">
        <f t="shared" si="14"/>
        <v/>
      </c>
    </row>
    <row r="918" spans="5:5" x14ac:dyDescent="0.25">
      <c r="E918" s="17" t="str">
        <f t="shared" si="14"/>
        <v/>
      </c>
    </row>
    <row r="919" spans="5:5" x14ac:dyDescent="0.25">
      <c r="E919" s="17" t="str">
        <f t="shared" si="14"/>
        <v/>
      </c>
    </row>
    <row r="920" spans="5:5" x14ac:dyDescent="0.25">
      <c r="E920" s="17" t="str">
        <f t="shared" si="14"/>
        <v/>
      </c>
    </row>
    <row r="921" spans="5:5" x14ac:dyDescent="0.25">
      <c r="E921" s="17" t="str">
        <f t="shared" si="14"/>
        <v/>
      </c>
    </row>
    <row r="922" spans="5:5" x14ac:dyDescent="0.25">
      <c r="E922" s="17" t="str">
        <f t="shared" si="14"/>
        <v/>
      </c>
    </row>
    <row r="923" spans="5:5" x14ac:dyDescent="0.25">
      <c r="E923" s="17" t="str">
        <f t="shared" si="14"/>
        <v/>
      </c>
    </row>
    <row r="924" spans="5:5" x14ac:dyDescent="0.25">
      <c r="E924" s="17" t="str">
        <f t="shared" si="14"/>
        <v/>
      </c>
    </row>
    <row r="925" spans="5:5" x14ac:dyDescent="0.25">
      <c r="E925" s="17" t="str">
        <f t="shared" si="14"/>
        <v/>
      </c>
    </row>
    <row r="926" spans="5:5" x14ac:dyDescent="0.25">
      <c r="E926" s="17" t="str">
        <f t="shared" si="14"/>
        <v/>
      </c>
    </row>
    <row r="927" spans="5:5" x14ac:dyDescent="0.25">
      <c r="E927" s="17" t="str">
        <f t="shared" si="14"/>
        <v/>
      </c>
    </row>
    <row r="928" spans="5:5" x14ac:dyDescent="0.25">
      <c r="E928" s="17" t="str">
        <f t="shared" si="14"/>
        <v/>
      </c>
    </row>
    <row r="929" spans="5:5" x14ac:dyDescent="0.25">
      <c r="E929" s="17" t="str">
        <f t="shared" si="14"/>
        <v/>
      </c>
    </row>
    <row r="930" spans="5:5" x14ac:dyDescent="0.25">
      <c r="E930" s="17" t="str">
        <f t="shared" si="14"/>
        <v/>
      </c>
    </row>
    <row r="931" spans="5:5" x14ac:dyDescent="0.25">
      <c r="E931" s="17" t="str">
        <f t="shared" si="14"/>
        <v/>
      </c>
    </row>
    <row r="932" spans="5:5" x14ac:dyDescent="0.25">
      <c r="E932" s="17" t="str">
        <f t="shared" si="14"/>
        <v/>
      </c>
    </row>
    <row r="933" spans="5:5" x14ac:dyDescent="0.25">
      <c r="E933" s="17" t="str">
        <f t="shared" si="14"/>
        <v/>
      </c>
    </row>
    <row r="934" spans="5:5" x14ac:dyDescent="0.25">
      <c r="E934" s="17" t="str">
        <f t="shared" si="14"/>
        <v/>
      </c>
    </row>
    <row r="935" spans="5:5" x14ac:dyDescent="0.25">
      <c r="E935" s="17" t="str">
        <f t="shared" si="14"/>
        <v/>
      </c>
    </row>
    <row r="936" spans="5:5" x14ac:dyDescent="0.25">
      <c r="E936" s="17" t="str">
        <f t="shared" si="14"/>
        <v/>
      </c>
    </row>
    <row r="937" spans="5:5" x14ac:dyDescent="0.25">
      <c r="E937" s="17" t="str">
        <f t="shared" si="14"/>
        <v/>
      </c>
    </row>
    <row r="938" spans="5:5" x14ac:dyDescent="0.25">
      <c r="E938" s="17" t="str">
        <f t="shared" si="14"/>
        <v/>
      </c>
    </row>
    <row r="939" spans="5:5" x14ac:dyDescent="0.25">
      <c r="E939" s="17" t="str">
        <f t="shared" si="14"/>
        <v/>
      </c>
    </row>
    <row r="940" spans="5:5" x14ac:dyDescent="0.25">
      <c r="E940" s="17" t="str">
        <f t="shared" si="14"/>
        <v/>
      </c>
    </row>
    <row r="941" spans="5:5" x14ac:dyDescent="0.25">
      <c r="E941" s="17" t="str">
        <f t="shared" si="14"/>
        <v/>
      </c>
    </row>
    <row r="942" spans="5:5" x14ac:dyDescent="0.25">
      <c r="E942" s="17" t="str">
        <f t="shared" si="14"/>
        <v/>
      </c>
    </row>
    <row r="943" spans="5:5" x14ac:dyDescent="0.25">
      <c r="E943" s="17" t="str">
        <f t="shared" si="14"/>
        <v/>
      </c>
    </row>
    <row r="944" spans="5:5" x14ac:dyDescent="0.25">
      <c r="E944" s="17" t="str">
        <f t="shared" si="14"/>
        <v/>
      </c>
    </row>
    <row r="945" spans="5:5" x14ac:dyDescent="0.25">
      <c r="E945" s="17" t="str">
        <f t="shared" si="14"/>
        <v/>
      </c>
    </row>
    <row r="946" spans="5:5" x14ac:dyDescent="0.25">
      <c r="E946" s="17" t="str">
        <f t="shared" si="14"/>
        <v/>
      </c>
    </row>
    <row r="947" spans="5:5" x14ac:dyDescent="0.25">
      <c r="E947" s="17" t="str">
        <f t="shared" ref="E947:E1010" si="15">IF(G947="","",HYPERLINK(G947,"Link"))</f>
        <v/>
      </c>
    </row>
    <row r="948" spans="5:5" x14ac:dyDescent="0.25">
      <c r="E948" s="17" t="str">
        <f t="shared" si="15"/>
        <v/>
      </c>
    </row>
    <row r="949" spans="5:5" x14ac:dyDescent="0.25">
      <c r="E949" s="17" t="str">
        <f t="shared" si="15"/>
        <v/>
      </c>
    </row>
    <row r="950" spans="5:5" x14ac:dyDescent="0.25">
      <c r="E950" s="17" t="str">
        <f t="shared" si="15"/>
        <v/>
      </c>
    </row>
    <row r="951" spans="5:5" x14ac:dyDescent="0.25">
      <c r="E951" s="17" t="str">
        <f t="shared" si="15"/>
        <v/>
      </c>
    </row>
    <row r="952" spans="5:5" x14ac:dyDescent="0.25">
      <c r="E952" s="17" t="str">
        <f t="shared" si="15"/>
        <v/>
      </c>
    </row>
    <row r="953" spans="5:5" x14ac:dyDescent="0.25">
      <c r="E953" s="17" t="str">
        <f t="shared" si="15"/>
        <v/>
      </c>
    </row>
    <row r="954" spans="5:5" x14ac:dyDescent="0.25">
      <c r="E954" s="17" t="str">
        <f t="shared" si="15"/>
        <v/>
      </c>
    </row>
    <row r="955" spans="5:5" x14ac:dyDescent="0.25">
      <c r="E955" s="17" t="str">
        <f t="shared" si="15"/>
        <v/>
      </c>
    </row>
    <row r="956" spans="5:5" x14ac:dyDescent="0.25">
      <c r="E956" s="17" t="str">
        <f t="shared" si="15"/>
        <v/>
      </c>
    </row>
    <row r="957" spans="5:5" x14ac:dyDescent="0.25">
      <c r="E957" s="17" t="str">
        <f t="shared" si="15"/>
        <v/>
      </c>
    </row>
    <row r="958" spans="5:5" x14ac:dyDescent="0.25">
      <c r="E958" s="17" t="str">
        <f t="shared" si="15"/>
        <v/>
      </c>
    </row>
    <row r="959" spans="5:5" x14ac:dyDescent="0.25">
      <c r="E959" s="17" t="str">
        <f t="shared" si="15"/>
        <v/>
      </c>
    </row>
    <row r="960" spans="5:5" x14ac:dyDescent="0.25">
      <c r="E960" s="17" t="str">
        <f t="shared" si="15"/>
        <v/>
      </c>
    </row>
    <row r="961" spans="5:5" x14ac:dyDescent="0.25">
      <c r="E961" s="17" t="str">
        <f t="shared" si="15"/>
        <v/>
      </c>
    </row>
    <row r="962" spans="5:5" x14ac:dyDescent="0.25">
      <c r="E962" s="17" t="str">
        <f t="shared" si="15"/>
        <v/>
      </c>
    </row>
    <row r="963" spans="5:5" x14ac:dyDescent="0.25">
      <c r="E963" s="17" t="str">
        <f t="shared" si="15"/>
        <v/>
      </c>
    </row>
    <row r="964" spans="5:5" x14ac:dyDescent="0.25">
      <c r="E964" s="17" t="str">
        <f t="shared" si="15"/>
        <v/>
      </c>
    </row>
    <row r="965" spans="5:5" x14ac:dyDescent="0.25">
      <c r="E965" s="17" t="str">
        <f t="shared" si="15"/>
        <v/>
      </c>
    </row>
    <row r="966" spans="5:5" x14ac:dyDescent="0.25">
      <c r="E966" s="17" t="str">
        <f t="shared" si="15"/>
        <v/>
      </c>
    </row>
    <row r="967" spans="5:5" x14ac:dyDescent="0.25">
      <c r="E967" s="17" t="str">
        <f t="shared" si="15"/>
        <v/>
      </c>
    </row>
    <row r="968" spans="5:5" x14ac:dyDescent="0.25">
      <c r="E968" s="17" t="str">
        <f t="shared" si="15"/>
        <v/>
      </c>
    </row>
    <row r="969" spans="5:5" x14ac:dyDescent="0.25">
      <c r="E969" s="17" t="str">
        <f t="shared" si="15"/>
        <v/>
      </c>
    </row>
    <row r="970" spans="5:5" x14ac:dyDescent="0.25">
      <c r="E970" s="17" t="str">
        <f t="shared" si="15"/>
        <v/>
      </c>
    </row>
    <row r="971" spans="5:5" x14ac:dyDescent="0.25">
      <c r="E971" s="17" t="str">
        <f t="shared" si="15"/>
        <v/>
      </c>
    </row>
    <row r="972" spans="5:5" x14ac:dyDescent="0.25">
      <c r="E972" s="17" t="str">
        <f t="shared" si="15"/>
        <v/>
      </c>
    </row>
    <row r="973" spans="5:5" x14ac:dyDescent="0.25">
      <c r="E973" s="17" t="str">
        <f t="shared" si="15"/>
        <v/>
      </c>
    </row>
    <row r="974" spans="5:5" x14ac:dyDescent="0.25">
      <c r="E974" s="17" t="str">
        <f t="shared" si="15"/>
        <v/>
      </c>
    </row>
    <row r="975" spans="5:5" x14ac:dyDescent="0.25">
      <c r="E975" s="17" t="str">
        <f t="shared" si="15"/>
        <v/>
      </c>
    </row>
    <row r="976" spans="5:5" x14ac:dyDescent="0.25">
      <c r="E976" s="17" t="str">
        <f t="shared" si="15"/>
        <v/>
      </c>
    </row>
    <row r="977" spans="5:5" x14ac:dyDescent="0.25">
      <c r="E977" s="17" t="str">
        <f t="shared" si="15"/>
        <v/>
      </c>
    </row>
    <row r="978" spans="5:5" x14ac:dyDescent="0.25">
      <c r="E978" s="17" t="str">
        <f t="shared" si="15"/>
        <v/>
      </c>
    </row>
    <row r="979" spans="5:5" x14ac:dyDescent="0.25">
      <c r="E979" s="17" t="str">
        <f t="shared" si="15"/>
        <v/>
      </c>
    </row>
    <row r="980" spans="5:5" x14ac:dyDescent="0.25">
      <c r="E980" s="17" t="str">
        <f t="shared" si="15"/>
        <v/>
      </c>
    </row>
    <row r="981" spans="5:5" x14ac:dyDescent="0.25">
      <c r="E981" s="17" t="str">
        <f t="shared" si="15"/>
        <v/>
      </c>
    </row>
    <row r="982" spans="5:5" x14ac:dyDescent="0.25">
      <c r="E982" s="17" t="str">
        <f t="shared" si="15"/>
        <v/>
      </c>
    </row>
    <row r="983" spans="5:5" x14ac:dyDescent="0.25">
      <c r="E983" s="17" t="str">
        <f t="shared" si="15"/>
        <v/>
      </c>
    </row>
    <row r="984" spans="5:5" x14ac:dyDescent="0.25">
      <c r="E984" s="17" t="str">
        <f t="shared" si="15"/>
        <v/>
      </c>
    </row>
    <row r="985" spans="5:5" x14ac:dyDescent="0.25">
      <c r="E985" s="17" t="str">
        <f t="shared" si="15"/>
        <v/>
      </c>
    </row>
    <row r="986" spans="5:5" x14ac:dyDescent="0.25">
      <c r="E986" s="17" t="str">
        <f t="shared" si="15"/>
        <v/>
      </c>
    </row>
    <row r="987" spans="5:5" x14ac:dyDescent="0.25">
      <c r="E987" s="17" t="str">
        <f t="shared" si="15"/>
        <v/>
      </c>
    </row>
    <row r="988" spans="5:5" x14ac:dyDescent="0.25">
      <c r="E988" s="17" t="str">
        <f t="shared" si="15"/>
        <v/>
      </c>
    </row>
    <row r="989" spans="5:5" x14ac:dyDescent="0.25">
      <c r="E989" s="17" t="str">
        <f t="shared" si="15"/>
        <v/>
      </c>
    </row>
    <row r="990" spans="5:5" x14ac:dyDescent="0.25">
      <c r="E990" s="17" t="str">
        <f t="shared" si="15"/>
        <v/>
      </c>
    </row>
    <row r="991" spans="5:5" x14ac:dyDescent="0.25">
      <c r="E991" s="17" t="str">
        <f t="shared" si="15"/>
        <v/>
      </c>
    </row>
    <row r="992" spans="5:5" x14ac:dyDescent="0.25">
      <c r="E992" s="17" t="str">
        <f t="shared" si="15"/>
        <v/>
      </c>
    </row>
    <row r="993" spans="5:5" x14ac:dyDescent="0.25">
      <c r="E993" s="17" t="str">
        <f t="shared" si="15"/>
        <v/>
      </c>
    </row>
    <row r="994" spans="5:5" x14ac:dyDescent="0.25">
      <c r="E994" s="17" t="str">
        <f t="shared" si="15"/>
        <v/>
      </c>
    </row>
    <row r="995" spans="5:5" x14ac:dyDescent="0.25">
      <c r="E995" s="17" t="str">
        <f t="shared" si="15"/>
        <v/>
      </c>
    </row>
    <row r="996" spans="5:5" x14ac:dyDescent="0.25">
      <c r="E996" s="17" t="str">
        <f t="shared" si="15"/>
        <v/>
      </c>
    </row>
    <row r="997" spans="5:5" x14ac:dyDescent="0.25">
      <c r="E997" s="17" t="str">
        <f t="shared" si="15"/>
        <v/>
      </c>
    </row>
    <row r="998" spans="5:5" x14ac:dyDescent="0.25">
      <c r="E998" s="17" t="str">
        <f t="shared" si="15"/>
        <v/>
      </c>
    </row>
    <row r="999" spans="5:5" x14ac:dyDescent="0.25">
      <c r="E999" s="17" t="str">
        <f t="shared" si="15"/>
        <v/>
      </c>
    </row>
    <row r="1000" spans="5:5" x14ac:dyDescent="0.25">
      <c r="E1000" s="17" t="str">
        <f t="shared" si="15"/>
        <v/>
      </c>
    </row>
    <row r="1001" spans="5:5" x14ac:dyDescent="0.25">
      <c r="E1001" s="17" t="str">
        <f t="shared" si="15"/>
        <v/>
      </c>
    </row>
    <row r="1002" spans="5:5" x14ac:dyDescent="0.25">
      <c r="E1002" s="17" t="str">
        <f t="shared" si="15"/>
        <v/>
      </c>
    </row>
    <row r="1003" spans="5:5" x14ac:dyDescent="0.25">
      <c r="E1003" s="17" t="str">
        <f t="shared" si="15"/>
        <v/>
      </c>
    </row>
    <row r="1004" spans="5:5" x14ac:dyDescent="0.25">
      <c r="E1004" s="17" t="str">
        <f t="shared" si="15"/>
        <v/>
      </c>
    </row>
    <row r="1005" spans="5:5" x14ac:dyDescent="0.25">
      <c r="E1005" s="17" t="str">
        <f t="shared" si="15"/>
        <v/>
      </c>
    </row>
    <row r="1006" spans="5:5" x14ac:dyDescent="0.25">
      <c r="E1006" s="17" t="str">
        <f t="shared" si="15"/>
        <v/>
      </c>
    </row>
    <row r="1007" spans="5:5" x14ac:dyDescent="0.25">
      <c r="E1007" s="17" t="str">
        <f t="shared" si="15"/>
        <v/>
      </c>
    </row>
    <row r="1008" spans="5:5" x14ac:dyDescent="0.25">
      <c r="E1008" s="17" t="str">
        <f t="shared" si="15"/>
        <v/>
      </c>
    </row>
    <row r="1009" spans="5:5" x14ac:dyDescent="0.25">
      <c r="E1009" s="17" t="str">
        <f t="shared" si="15"/>
        <v/>
      </c>
    </row>
    <row r="1010" spans="5:5" x14ac:dyDescent="0.25">
      <c r="E1010" s="17" t="str">
        <f t="shared" si="15"/>
        <v/>
      </c>
    </row>
    <row r="1011" spans="5:5" x14ac:dyDescent="0.25">
      <c r="E1011" s="17" t="str">
        <f t="shared" ref="E1011:E1038" si="16">IF(G1011="","",HYPERLINK(G1011,"Link"))</f>
        <v/>
      </c>
    </row>
    <row r="1012" spans="5:5" x14ac:dyDescent="0.25">
      <c r="E1012" s="17" t="str">
        <f t="shared" si="16"/>
        <v/>
      </c>
    </row>
    <row r="1013" spans="5:5" x14ac:dyDescent="0.25">
      <c r="E1013" s="17" t="str">
        <f t="shared" si="16"/>
        <v/>
      </c>
    </row>
    <row r="1014" spans="5:5" x14ac:dyDescent="0.25">
      <c r="E1014" s="17" t="str">
        <f t="shared" si="16"/>
        <v/>
      </c>
    </row>
    <row r="1015" spans="5:5" x14ac:dyDescent="0.25">
      <c r="E1015" s="17" t="str">
        <f t="shared" si="16"/>
        <v/>
      </c>
    </row>
    <row r="1016" spans="5:5" x14ac:dyDescent="0.25">
      <c r="E1016" s="17" t="str">
        <f t="shared" si="16"/>
        <v/>
      </c>
    </row>
    <row r="1017" spans="5:5" x14ac:dyDescent="0.25">
      <c r="E1017" s="17" t="str">
        <f t="shared" si="16"/>
        <v/>
      </c>
    </row>
    <row r="1018" spans="5:5" x14ac:dyDescent="0.25">
      <c r="E1018" s="17" t="str">
        <f t="shared" si="16"/>
        <v/>
      </c>
    </row>
    <row r="1019" spans="5:5" x14ac:dyDescent="0.25">
      <c r="E1019" s="17" t="str">
        <f t="shared" si="16"/>
        <v/>
      </c>
    </row>
    <row r="1020" spans="5:5" x14ac:dyDescent="0.25">
      <c r="E1020" s="17" t="str">
        <f t="shared" si="16"/>
        <v/>
      </c>
    </row>
    <row r="1021" spans="5:5" x14ac:dyDescent="0.25">
      <c r="E1021" s="17" t="str">
        <f t="shared" si="16"/>
        <v/>
      </c>
    </row>
    <row r="1022" spans="5:5" x14ac:dyDescent="0.25">
      <c r="E1022" s="17" t="str">
        <f t="shared" si="16"/>
        <v/>
      </c>
    </row>
    <row r="1023" spans="5:5" x14ac:dyDescent="0.25">
      <c r="E1023" s="17" t="str">
        <f t="shared" si="16"/>
        <v/>
      </c>
    </row>
    <row r="1024" spans="5:5" x14ac:dyDescent="0.25">
      <c r="E1024" s="17" t="str">
        <f t="shared" si="16"/>
        <v/>
      </c>
    </row>
    <row r="1025" spans="5:5" x14ac:dyDescent="0.25">
      <c r="E1025" s="17" t="str">
        <f t="shared" si="16"/>
        <v/>
      </c>
    </row>
    <row r="1026" spans="5:5" x14ac:dyDescent="0.25">
      <c r="E1026" s="17" t="str">
        <f t="shared" si="16"/>
        <v/>
      </c>
    </row>
    <row r="1027" spans="5:5" x14ac:dyDescent="0.25">
      <c r="E1027" s="17" t="str">
        <f t="shared" si="16"/>
        <v/>
      </c>
    </row>
    <row r="1028" spans="5:5" x14ac:dyDescent="0.25">
      <c r="E1028" s="17" t="str">
        <f t="shared" si="16"/>
        <v/>
      </c>
    </row>
    <row r="1029" spans="5:5" x14ac:dyDescent="0.25">
      <c r="E1029" s="17" t="str">
        <f t="shared" si="16"/>
        <v/>
      </c>
    </row>
    <row r="1030" spans="5:5" x14ac:dyDescent="0.25">
      <c r="E1030" s="17" t="str">
        <f t="shared" si="16"/>
        <v/>
      </c>
    </row>
    <row r="1031" spans="5:5" x14ac:dyDescent="0.25">
      <c r="E1031" s="17" t="str">
        <f t="shared" si="16"/>
        <v/>
      </c>
    </row>
    <row r="1032" spans="5:5" x14ac:dyDescent="0.25">
      <c r="E1032" s="17" t="str">
        <f t="shared" si="16"/>
        <v/>
      </c>
    </row>
    <row r="1033" spans="5:5" x14ac:dyDescent="0.25">
      <c r="E1033" s="17" t="str">
        <f t="shared" si="16"/>
        <v/>
      </c>
    </row>
    <row r="1034" spans="5:5" x14ac:dyDescent="0.25">
      <c r="E1034" s="17" t="str">
        <f t="shared" si="16"/>
        <v/>
      </c>
    </row>
    <row r="1035" spans="5:5" x14ac:dyDescent="0.25">
      <c r="E1035" s="17" t="str">
        <f t="shared" si="16"/>
        <v/>
      </c>
    </row>
    <row r="1036" spans="5:5" x14ac:dyDescent="0.25">
      <c r="E1036" s="17" t="str">
        <f t="shared" si="16"/>
        <v/>
      </c>
    </row>
    <row r="1037" spans="5:5" x14ac:dyDescent="0.25">
      <c r="E1037" s="17" t="str">
        <f t="shared" si="16"/>
        <v/>
      </c>
    </row>
    <row r="1038" spans="5:5" x14ac:dyDescent="0.25">
      <c r="E1038" s="17" t="str">
        <f t="shared" si="16"/>
        <v/>
      </c>
    </row>
    <row r="1039" spans="5:5" x14ac:dyDescent="0.25">
      <c r="E1039" s="17" t="str">
        <f t="shared" ref="E1039:E1074" si="17">IF(G1039="","",HYPERLINK(G1039,"Link"))</f>
        <v/>
      </c>
    </row>
    <row r="1040" spans="5:5" x14ac:dyDescent="0.25">
      <c r="E1040" s="17" t="str">
        <f t="shared" si="17"/>
        <v/>
      </c>
    </row>
    <row r="1041" spans="5:5" x14ac:dyDescent="0.25">
      <c r="E1041" s="17" t="str">
        <f t="shared" si="17"/>
        <v/>
      </c>
    </row>
    <row r="1042" spans="5:5" x14ac:dyDescent="0.25">
      <c r="E1042" s="17" t="str">
        <f t="shared" si="17"/>
        <v/>
      </c>
    </row>
    <row r="1043" spans="5:5" x14ac:dyDescent="0.25">
      <c r="E1043" s="17" t="str">
        <f t="shared" si="17"/>
        <v/>
      </c>
    </row>
    <row r="1044" spans="5:5" x14ac:dyDescent="0.25">
      <c r="E1044" s="17" t="str">
        <f t="shared" si="17"/>
        <v/>
      </c>
    </row>
    <row r="1045" spans="5:5" x14ac:dyDescent="0.25">
      <c r="E1045" s="17" t="str">
        <f t="shared" si="17"/>
        <v/>
      </c>
    </row>
    <row r="1046" spans="5:5" x14ac:dyDescent="0.25">
      <c r="E1046" s="17" t="str">
        <f t="shared" si="17"/>
        <v/>
      </c>
    </row>
    <row r="1047" spans="5:5" x14ac:dyDescent="0.25">
      <c r="E1047" s="17" t="str">
        <f t="shared" si="17"/>
        <v/>
      </c>
    </row>
    <row r="1048" spans="5:5" x14ac:dyDescent="0.25">
      <c r="E1048" s="17" t="str">
        <f t="shared" si="17"/>
        <v/>
      </c>
    </row>
    <row r="1049" spans="5:5" x14ac:dyDescent="0.25">
      <c r="E1049" s="17" t="str">
        <f t="shared" si="17"/>
        <v/>
      </c>
    </row>
    <row r="1050" spans="5:5" x14ac:dyDescent="0.25">
      <c r="E1050" s="17" t="str">
        <f t="shared" si="17"/>
        <v/>
      </c>
    </row>
    <row r="1051" spans="5:5" x14ac:dyDescent="0.25">
      <c r="E1051" s="17" t="str">
        <f t="shared" si="17"/>
        <v/>
      </c>
    </row>
    <row r="1052" spans="5:5" x14ac:dyDescent="0.25">
      <c r="E1052" s="17" t="str">
        <f t="shared" si="17"/>
        <v/>
      </c>
    </row>
    <row r="1053" spans="5:5" x14ac:dyDescent="0.25">
      <c r="E1053" s="17" t="str">
        <f t="shared" si="17"/>
        <v/>
      </c>
    </row>
    <row r="1054" spans="5:5" x14ac:dyDescent="0.25">
      <c r="E1054" s="17" t="str">
        <f t="shared" si="17"/>
        <v/>
      </c>
    </row>
    <row r="1055" spans="5:5" x14ac:dyDescent="0.25">
      <c r="E1055" s="17" t="str">
        <f t="shared" si="17"/>
        <v/>
      </c>
    </row>
    <row r="1056" spans="5:5" x14ac:dyDescent="0.25">
      <c r="E1056" s="17" t="str">
        <f t="shared" si="17"/>
        <v/>
      </c>
    </row>
    <row r="1057" spans="5:5" x14ac:dyDescent="0.25">
      <c r="E1057" s="17" t="str">
        <f t="shared" si="17"/>
        <v/>
      </c>
    </row>
    <row r="1058" spans="5:5" x14ac:dyDescent="0.25">
      <c r="E1058" s="17" t="str">
        <f t="shared" si="17"/>
        <v/>
      </c>
    </row>
    <row r="1059" spans="5:5" x14ac:dyDescent="0.25">
      <c r="E1059" s="17" t="str">
        <f t="shared" si="17"/>
        <v/>
      </c>
    </row>
    <row r="1060" spans="5:5" x14ac:dyDescent="0.25">
      <c r="E1060" s="17" t="str">
        <f t="shared" si="17"/>
        <v/>
      </c>
    </row>
    <row r="1061" spans="5:5" x14ac:dyDescent="0.25">
      <c r="E1061" s="17" t="str">
        <f t="shared" si="17"/>
        <v/>
      </c>
    </row>
    <row r="1062" spans="5:5" x14ac:dyDescent="0.25">
      <c r="E1062" s="17" t="str">
        <f t="shared" si="17"/>
        <v/>
      </c>
    </row>
    <row r="1063" spans="5:5" x14ac:dyDescent="0.25">
      <c r="E1063" s="17" t="str">
        <f t="shared" si="17"/>
        <v/>
      </c>
    </row>
    <row r="1064" spans="5:5" x14ac:dyDescent="0.25">
      <c r="E1064" s="17" t="str">
        <f t="shared" si="17"/>
        <v/>
      </c>
    </row>
    <row r="1065" spans="5:5" x14ac:dyDescent="0.25">
      <c r="E1065" s="17" t="str">
        <f t="shared" si="17"/>
        <v/>
      </c>
    </row>
    <row r="1066" spans="5:5" x14ac:dyDescent="0.25">
      <c r="E1066" s="17" t="str">
        <f t="shared" si="17"/>
        <v/>
      </c>
    </row>
    <row r="1067" spans="5:5" x14ac:dyDescent="0.25">
      <c r="E1067" s="17" t="str">
        <f t="shared" si="17"/>
        <v/>
      </c>
    </row>
    <row r="1068" spans="5:5" x14ac:dyDescent="0.25">
      <c r="E1068" s="17" t="str">
        <f t="shared" si="17"/>
        <v/>
      </c>
    </row>
    <row r="1069" spans="5:5" x14ac:dyDescent="0.25">
      <c r="E1069" s="17" t="str">
        <f t="shared" si="17"/>
        <v/>
      </c>
    </row>
    <row r="1070" spans="5:5" x14ac:dyDescent="0.25">
      <c r="E1070" s="17" t="str">
        <f t="shared" si="17"/>
        <v/>
      </c>
    </row>
    <row r="1071" spans="5:5" x14ac:dyDescent="0.25">
      <c r="E1071" s="17" t="str">
        <f t="shared" si="17"/>
        <v/>
      </c>
    </row>
    <row r="1072" spans="5:5" x14ac:dyDescent="0.25">
      <c r="E1072" s="17" t="str">
        <f t="shared" si="17"/>
        <v/>
      </c>
    </row>
    <row r="1073" spans="5:5" x14ac:dyDescent="0.25">
      <c r="E1073" s="17" t="str">
        <f t="shared" si="17"/>
        <v/>
      </c>
    </row>
    <row r="1074" spans="5:5" x14ac:dyDescent="0.25">
      <c r="E1074" s="17" t="str">
        <f t="shared" si="17"/>
        <v/>
      </c>
    </row>
    <row r="1075" spans="5:5" x14ac:dyDescent="0.25">
      <c r="E1075" s="17" t="str">
        <f t="shared" ref="E1075:E1138" si="18">IF(G1075="","",HYPERLINK(G1075,"Link"))</f>
        <v/>
      </c>
    </row>
    <row r="1076" spans="5:5" x14ac:dyDescent="0.25">
      <c r="E1076" s="17" t="str">
        <f t="shared" si="18"/>
        <v/>
      </c>
    </row>
    <row r="1077" spans="5:5" x14ac:dyDescent="0.25">
      <c r="E1077" s="17" t="str">
        <f t="shared" si="18"/>
        <v/>
      </c>
    </row>
    <row r="1078" spans="5:5" x14ac:dyDescent="0.25">
      <c r="E1078" s="17" t="str">
        <f t="shared" si="18"/>
        <v/>
      </c>
    </row>
    <row r="1079" spans="5:5" x14ac:dyDescent="0.25">
      <c r="E1079" s="17" t="str">
        <f t="shared" si="18"/>
        <v/>
      </c>
    </row>
    <row r="1080" spans="5:5" x14ac:dyDescent="0.25">
      <c r="E1080" s="17" t="str">
        <f t="shared" si="18"/>
        <v/>
      </c>
    </row>
    <row r="1081" spans="5:5" x14ac:dyDescent="0.25">
      <c r="E1081" s="17" t="str">
        <f t="shared" si="18"/>
        <v/>
      </c>
    </row>
    <row r="1082" spans="5:5" x14ac:dyDescent="0.25">
      <c r="E1082" s="17" t="str">
        <f t="shared" si="18"/>
        <v/>
      </c>
    </row>
    <row r="1083" spans="5:5" x14ac:dyDescent="0.25">
      <c r="E1083" s="17" t="str">
        <f t="shared" si="18"/>
        <v/>
      </c>
    </row>
    <row r="1084" spans="5:5" x14ac:dyDescent="0.25">
      <c r="E1084" s="17" t="str">
        <f t="shared" si="18"/>
        <v/>
      </c>
    </row>
    <row r="1085" spans="5:5" x14ac:dyDescent="0.25">
      <c r="E1085" s="17" t="str">
        <f t="shared" si="18"/>
        <v/>
      </c>
    </row>
    <row r="1086" spans="5:5" x14ac:dyDescent="0.25">
      <c r="E1086" s="17" t="str">
        <f t="shared" si="18"/>
        <v/>
      </c>
    </row>
    <row r="1087" spans="5:5" x14ac:dyDescent="0.25">
      <c r="E1087" s="17" t="str">
        <f t="shared" si="18"/>
        <v/>
      </c>
    </row>
    <row r="1088" spans="5:5" x14ac:dyDescent="0.25">
      <c r="E1088" s="17" t="str">
        <f t="shared" si="18"/>
        <v/>
      </c>
    </row>
    <row r="1089" spans="5:5" x14ac:dyDescent="0.25">
      <c r="E1089" s="17" t="str">
        <f t="shared" si="18"/>
        <v/>
      </c>
    </row>
    <row r="1090" spans="5:5" x14ac:dyDescent="0.25">
      <c r="E1090" s="17" t="str">
        <f t="shared" si="18"/>
        <v/>
      </c>
    </row>
    <row r="1091" spans="5:5" x14ac:dyDescent="0.25">
      <c r="E1091" s="17" t="str">
        <f t="shared" si="18"/>
        <v/>
      </c>
    </row>
    <row r="1092" spans="5:5" x14ac:dyDescent="0.25">
      <c r="E1092" s="17" t="str">
        <f t="shared" si="18"/>
        <v/>
      </c>
    </row>
    <row r="1093" spans="5:5" x14ac:dyDescent="0.25">
      <c r="E1093" s="17" t="str">
        <f t="shared" si="18"/>
        <v/>
      </c>
    </row>
    <row r="1094" spans="5:5" x14ac:dyDescent="0.25">
      <c r="E1094" s="17" t="str">
        <f t="shared" si="18"/>
        <v/>
      </c>
    </row>
    <row r="1095" spans="5:5" x14ac:dyDescent="0.25">
      <c r="E1095" s="17" t="str">
        <f t="shared" si="18"/>
        <v/>
      </c>
    </row>
    <row r="1096" spans="5:5" x14ac:dyDescent="0.25">
      <c r="E1096" s="17" t="str">
        <f t="shared" si="18"/>
        <v/>
      </c>
    </row>
    <row r="1097" spans="5:5" x14ac:dyDescent="0.25">
      <c r="E1097" s="17" t="str">
        <f t="shared" si="18"/>
        <v/>
      </c>
    </row>
    <row r="1098" spans="5:5" x14ac:dyDescent="0.25">
      <c r="E1098" s="17" t="str">
        <f t="shared" si="18"/>
        <v/>
      </c>
    </row>
    <row r="1099" spans="5:5" x14ac:dyDescent="0.25">
      <c r="E1099" s="17" t="str">
        <f t="shared" si="18"/>
        <v/>
      </c>
    </row>
    <row r="1100" spans="5:5" x14ac:dyDescent="0.25">
      <c r="E1100" s="17" t="str">
        <f t="shared" si="18"/>
        <v/>
      </c>
    </row>
    <row r="1101" spans="5:5" x14ac:dyDescent="0.25">
      <c r="E1101" s="17" t="str">
        <f t="shared" si="18"/>
        <v/>
      </c>
    </row>
    <row r="1102" spans="5:5" x14ac:dyDescent="0.25">
      <c r="E1102" s="17" t="str">
        <f t="shared" si="18"/>
        <v/>
      </c>
    </row>
    <row r="1103" spans="5:5" x14ac:dyDescent="0.25">
      <c r="E1103" s="17" t="str">
        <f t="shared" si="18"/>
        <v/>
      </c>
    </row>
    <row r="1104" spans="5:5" x14ac:dyDescent="0.25">
      <c r="E1104" s="17" t="str">
        <f t="shared" si="18"/>
        <v/>
      </c>
    </row>
    <row r="1105" spans="5:5" x14ac:dyDescent="0.25">
      <c r="E1105" s="17" t="str">
        <f t="shared" si="18"/>
        <v/>
      </c>
    </row>
    <row r="1106" spans="5:5" x14ac:dyDescent="0.25">
      <c r="E1106" s="17" t="str">
        <f t="shared" si="18"/>
        <v/>
      </c>
    </row>
    <row r="1107" spans="5:5" x14ac:dyDescent="0.25">
      <c r="E1107" s="17" t="str">
        <f t="shared" si="18"/>
        <v/>
      </c>
    </row>
    <row r="1108" spans="5:5" x14ac:dyDescent="0.25">
      <c r="E1108" s="17" t="str">
        <f t="shared" si="18"/>
        <v/>
      </c>
    </row>
    <row r="1109" spans="5:5" x14ac:dyDescent="0.25">
      <c r="E1109" s="17" t="str">
        <f t="shared" si="18"/>
        <v/>
      </c>
    </row>
    <row r="1110" spans="5:5" x14ac:dyDescent="0.25">
      <c r="E1110" s="17" t="str">
        <f t="shared" si="18"/>
        <v/>
      </c>
    </row>
    <row r="1111" spans="5:5" x14ac:dyDescent="0.25">
      <c r="E1111" s="17" t="str">
        <f t="shared" si="18"/>
        <v/>
      </c>
    </row>
    <row r="1112" spans="5:5" x14ac:dyDescent="0.25">
      <c r="E1112" s="17" t="str">
        <f t="shared" si="18"/>
        <v/>
      </c>
    </row>
    <row r="1113" spans="5:5" x14ac:dyDescent="0.25">
      <c r="E1113" s="17" t="str">
        <f t="shared" si="18"/>
        <v/>
      </c>
    </row>
    <row r="1114" spans="5:5" x14ac:dyDescent="0.25">
      <c r="E1114" s="17" t="str">
        <f t="shared" si="18"/>
        <v/>
      </c>
    </row>
    <row r="1115" spans="5:5" x14ac:dyDescent="0.25">
      <c r="E1115" s="17" t="str">
        <f t="shared" si="18"/>
        <v/>
      </c>
    </row>
    <row r="1116" spans="5:5" x14ac:dyDescent="0.25">
      <c r="E1116" s="17" t="str">
        <f t="shared" si="18"/>
        <v/>
      </c>
    </row>
    <row r="1117" spans="5:5" x14ac:dyDescent="0.25">
      <c r="E1117" s="17" t="str">
        <f t="shared" si="18"/>
        <v/>
      </c>
    </row>
    <row r="1118" spans="5:5" x14ac:dyDescent="0.25">
      <c r="E1118" s="17" t="str">
        <f t="shared" si="18"/>
        <v/>
      </c>
    </row>
    <row r="1119" spans="5:5" x14ac:dyDescent="0.25">
      <c r="E1119" s="17" t="str">
        <f t="shared" si="18"/>
        <v/>
      </c>
    </row>
    <row r="1120" spans="5:5" x14ac:dyDescent="0.25">
      <c r="E1120" s="17" t="str">
        <f t="shared" si="18"/>
        <v/>
      </c>
    </row>
    <row r="1121" spans="5:5" x14ac:dyDescent="0.25">
      <c r="E1121" s="17" t="str">
        <f t="shared" si="18"/>
        <v/>
      </c>
    </row>
    <row r="1122" spans="5:5" x14ac:dyDescent="0.25">
      <c r="E1122" s="17" t="str">
        <f t="shared" si="18"/>
        <v/>
      </c>
    </row>
    <row r="1123" spans="5:5" x14ac:dyDescent="0.25">
      <c r="E1123" s="17" t="str">
        <f t="shared" si="18"/>
        <v/>
      </c>
    </row>
    <row r="1124" spans="5:5" x14ac:dyDescent="0.25">
      <c r="E1124" s="17" t="str">
        <f t="shared" si="18"/>
        <v/>
      </c>
    </row>
    <row r="1125" spans="5:5" x14ac:dyDescent="0.25">
      <c r="E1125" s="17" t="str">
        <f t="shared" si="18"/>
        <v/>
      </c>
    </row>
    <row r="1126" spans="5:5" x14ac:dyDescent="0.25">
      <c r="E1126" s="17" t="str">
        <f t="shared" si="18"/>
        <v/>
      </c>
    </row>
    <row r="1127" spans="5:5" x14ac:dyDescent="0.25">
      <c r="E1127" s="17" t="str">
        <f t="shared" si="18"/>
        <v/>
      </c>
    </row>
    <row r="1128" spans="5:5" x14ac:dyDescent="0.25">
      <c r="E1128" s="17" t="str">
        <f t="shared" si="18"/>
        <v/>
      </c>
    </row>
    <row r="1129" spans="5:5" x14ac:dyDescent="0.25">
      <c r="E1129" s="17" t="str">
        <f t="shared" si="18"/>
        <v/>
      </c>
    </row>
    <row r="1130" spans="5:5" x14ac:dyDescent="0.25">
      <c r="E1130" s="17" t="str">
        <f t="shared" si="18"/>
        <v/>
      </c>
    </row>
    <row r="1131" spans="5:5" x14ac:dyDescent="0.25">
      <c r="E1131" s="17" t="str">
        <f t="shared" si="18"/>
        <v/>
      </c>
    </row>
    <row r="1132" spans="5:5" x14ac:dyDescent="0.25">
      <c r="E1132" s="17" t="str">
        <f t="shared" si="18"/>
        <v/>
      </c>
    </row>
    <row r="1133" spans="5:5" x14ac:dyDescent="0.25">
      <c r="E1133" s="17" t="str">
        <f t="shared" si="18"/>
        <v/>
      </c>
    </row>
    <row r="1134" spans="5:5" x14ac:dyDescent="0.25">
      <c r="E1134" s="17" t="str">
        <f t="shared" si="18"/>
        <v/>
      </c>
    </row>
    <row r="1135" spans="5:5" x14ac:dyDescent="0.25">
      <c r="E1135" s="17" t="str">
        <f t="shared" si="18"/>
        <v/>
      </c>
    </row>
    <row r="1136" spans="5:5" x14ac:dyDescent="0.25">
      <c r="E1136" s="17" t="str">
        <f t="shared" si="18"/>
        <v/>
      </c>
    </row>
    <row r="1137" spans="5:5" x14ac:dyDescent="0.25">
      <c r="E1137" s="17" t="str">
        <f t="shared" si="18"/>
        <v/>
      </c>
    </row>
    <row r="1138" spans="5:5" x14ac:dyDescent="0.25">
      <c r="E1138" s="17" t="str">
        <f t="shared" si="18"/>
        <v/>
      </c>
    </row>
    <row r="1139" spans="5:5" x14ac:dyDescent="0.25">
      <c r="E1139" s="17" t="str">
        <f t="shared" ref="E1139:E1153" si="19">IF(G1139="","",HYPERLINK(G1139,"Link"))</f>
        <v/>
      </c>
    </row>
    <row r="1140" spans="5:5" x14ac:dyDescent="0.25">
      <c r="E1140" s="17" t="str">
        <f t="shared" si="19"/>
        <v/>
      </c>
    </row>
    <row r="1141" spans="5:5" x14ac:dyDescent="0.25">
      <c r="E1141" s="17" t="str">
        <f t="shared" si="19"/>
        <v/>
      </c>
    </row>
    <row r="1142" spans="5:5" x14ac:dyDescent="0.25">
      <c r="E1142" s="17" t="str">
        <f t="shared" si="19"/>
        <v/>
      </c>
    </row>
    <row r="1143" spans="5:5" x14ac:dyDescent="0.25">
      <c r="E1143" s="17" t="str">
        <f t="shared" si="19"/>
        <v/>
      </c>
    </row>
    <row r="1144" spans="5:5" x14ac:dyDescent="0.25">
      <c r="E1144" s="17" t="str">
        <f t="shared" si="19"/>
        <v/>
      </c>
    </row>
    <row r="1145" spans="5:5" x14ac:dyDescent="0.25">
      <c r="E1145" s="17" t="str">
        <f t="shared" si="19"/>
        <v/>
      </c>
    </row>
    <row r="1146" spans="5:5" x14ac:dyDescent="0.25">
      <c r="E1146" s="17" t="str">
        <f t="shared" si="19"/>
        <v/>
      </c>
    </row>
    <row r="1147" spans="5:5" x14ac:dyDescent="0.25">
      <c r="E1147" s="17" t="str">
        <f t="shared" si="19"/>
        <v/>
      </c>
    </row>
    <row r="1148" spans="5:5" x14ac:dyDescent="0.25">
      <c r="E1148" s="17" t="str">
        <f t="shared" si="19"/>
        <v/>
      </c>
    </row>
    <row r="1149" spans="5:5" x14ac:dyDescent="0.25">
      <c r="E1149" s="17" t="str">
        <f t="shared" si="19"/>
        <v/>
      </c>
    </row>
    <row r="1150" spans="5:5" x14ac:dyDescent="0.25">
      <c r="E1150" s="17" t="str">
        <f t="shared" si="19"/>
        <v/>
      </c>
    </row>
    <row r="1151" spans="5:5" x14ac:dyDescent="0.25">
      <c r="E1151" s="17" t="str">
        <f t="shared" si="19"/>
        <v/>
      </c>
    </row>
    <row r="1152" spans="5:5" x14ac:dyDescent="0.25">
      <c r="E1152" s="17" t="str">
        <f t="shared" si="19"/>
        <v/>
      </c>
    </row>
    <row r="1153" spans="5:5" x14ac:dyDescent="0.25">
      <c r="E1153" s="17" t="str">
        <f t="shared" si="19"/>
        <v/>
      </c>
    </row>
  </sheetData>
  <autoFilter ref="A1:G1155"/>
  <sortState ref="A1:B237">
    <sortCondition ref="A1"/>
  </sortState>
  <hyperlinks>
    <hyperlink ref="G239" r:id="rId1" location="Mongolian"/>
    <hyperlink ref="G245" r:id="rId2" location="Mongolian"/>
    <hyperlink ref="G250" r:id="rId3" location="Mongolian"/>
    <hyperlink ref="G226" r:id="rId4" location="Mongolian"/>
    <hyperlink ref="G227" r:id="rId5" location="Mongolian"/>
    <hyperlink ref="G235" r:id="rId6"/>
    <hyperlink ref="G257" r:id="rId7"/>
    <hyperlink ref="G258" r:id="rId8" location="Mongolian"/>
    <hyperlink ref="G260" r:id="rId9" location="Mongolian"/>
    <hyperlink ref="G261" r:id="rId10"/>
    <hyperlink ref="G264" r:id="rId11" location="Mongolian"/>
    <hyperlink ref="G265" r:id="rId12" location="Mongolian"/>
    <hyperlink ref="G282" r:id="rId13" location="Mongolian"/>
    <hyperlink ref="G284" r:id="rId14" location="Mongolian"/>
    <hyperlink ref="G290" r:id="rId15"/>
    <hyperlink ref="G294" r:id="rId16"/>
    <hyperlink ref="G303" r:id="rId17" location="Mongolian"/>
    <hyperlink ref="G306" r:id="rId18" location="Mongolian"/>
    <hyperlink ref="G311" r:id="rId19" location="Mongolian"/>
    <hyperlink ref="G312" r:id="rId20" location="Mongolian"/>
    <hyperlink ref="G323" r:id="rId21" location="Mongolian"/>
    <hyperlink ref="G329" r:id="rId22"/>
    <hyperlink ref="G333" r:id="rId23"/>
    <hyperlink ref="G335" r:id="rId24"/>
    <hyperlink ref="G297" r:id="rId25" location="Mongolian"/>
    <hyperlink ref="G296" r:id="rId26" location="Mongolian"/>
    <hyperlink ref="G343" r:id="rId27"/>
    <hyperlink ref="G350" r:id="rId28"/>
    <hyperlink ref="G351" r:id="rId29"/>
    <hyperlink ref="G349" r:id="rId30"/>
    <hyperlink ref="G352" r:id="rId31" location="Mongolian"/>
    <hyperlink ref="G241" r:id="rId32" location="Mongolian"/>
    <hyperlink ref="G242" r:id="rId33" location="Mongolian"/>
    <hyperlink ref="G313" r:id="rId34" location="Mongolian"/>
    <hyperlink ref="G266" r:id="rId35" location="Mongolian"/>
    <hyperlink ref="G100" r:id="rId36" location="Mongolian"/>
    <hyperlink ref="G322" r:id="rId37" location="Mongolian"/>
  </hyperlinks>
  <pageMargins left="0.7" right="0.7" top="0.75" bottom="0.75" header="0.3" footer="0.3"/>
  <pageSetup orientation="portrait" r:id="rId3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Sentences</vt:lpstr>
      <vt:lpstr>Vocabulary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</cp:lastModifiedBy>
  <dcterms:created xsi:type="dcterms:W3CDTF">2017-03-01T17:36:38Z</dcterms:created>
  <dcterms:modified xsi:type="dcterms:W3CDTF">2017-04-04T02:57:46Z</dcterms:modified>
</cp:coreProperties>
</file>